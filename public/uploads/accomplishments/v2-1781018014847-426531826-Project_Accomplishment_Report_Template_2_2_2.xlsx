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b. Contractor's All Risk Insurance (CARI)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c. Performance Bond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d. Other 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Mobilization and Demobilization</v>
      </c>
      <c r="C12" t="str">
        <v>lot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tr">
        <v>lot</v>
      </c>
      <c r="J12">
        <v>103229</v>
      </c>
      <c r="K12">
        <v>103229</v>
      </c>
      <c r="L12">
        <f>J12-K12</f>
        <v>0</v>
      </c>
      <c r="M12">
        <v>103229</v>
      </c>
      <c r="N12">
        <v>0.002394733536358827</v>
      </c>
      <c r="O12" t="str">
        <v>Completed</v>
      </c>
    </row>
    <row r="13">
      <c r="A13" t="str">
        <v/>
      </c>
      <c r="B13" t="str">
        <v>Site Management Work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a. Project Management</v>
      </c>
      <c r="C14" t="str">
        <v>lot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tr">
        <v>lot</v>
      </c>
      <c r="J14">
        <v>678976</v>
      </c>
      <c r="K14">
        <v>678976</v>
      </c>
      <c r="L14">
        <f>J14-K14</f>
        <v>0</v>
      </c>
      <c r="M14">
        <v>678976</v>
      </c>
      <c r="N14">
        <v>0.01575106411553702</v>
      </c>
      <c r="O14" t="str">
        <v>Completed</v>
      </c>
    </row>
    <row r="15" xml:space="preserve">
      <c r="A15" t="str">
        <v/>
      </c>
      <c r="B15" t="str" xml:space="preserve">
        <v xml:space="preserve">b. Admin Support_x000d_
  - Accounting, Procurement, Logistics</v>
      </c>
      <c r="C15" t="str">
        <v>lot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tr">
        <v>lot</v>
      </c>
      <c r="J15">
        <v>279579.99999999994</v>
      </c>
      <c r="K15">
        <v>279579.99999999994</v>
      </c>
      <c r="L15">
        <f>J15-K15</f>
        <v>0</v>
      </c>
      <c r="M15">
        <v>279579.99999999994</v>
      </c>
      <c r="N15">
        <v>0.006485770491772669</v>
      </c>
      <c r="O15" t="str">
        <v>Completed</v>
      </c>
    </row>
    <row r="16">
      <c r="A16" t="str">
        <v/>
      </c>
      <c r="B16" t="str">
        <v>c.Quality Management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279579.99999999994</v>
      </c>
      <c r="K16">
        <v>279579.99999999994</v>
      </c>
      <c r="L16">
        <f>J16-K16</f>
        <v>0</v>
      </c>
      <c r="M16">
        <v>279579.99999999994</v>
      </c>
      <c r="N16">
        <v>0.006485770491772669</v>
      </c>
      <c r="O16" t="str">
        <v>Completed</v>
      </c>
    </row>
    <row r="17" xml:space="preserve">
      <c r="A17" t="str">
        <v/>
      </c>
      <c r="B17" t="str" xml:space="preserve">
        <v xml:space="preserve">d. Engineering Management_x000d_
 - Clarifications &amp; Drawings</v>
      </c>
      <c r="C17" t="str">
        <v>lot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tr">
        <v>lot</v>
      </c>
      <c r="J17">
        <v>319519</v>
      </c>
      <c r="K17">
        <v>319519</v>
      </c>
      <c r="L17">
        <f>J17-K17</f>
        <v>0</v>
      </c>
      <c r="M17">
        <v>319519</v>
      </c>
      <c r="N17">
        <v>0.007412285935191043</v>
      </c>
      <c r="O17" t="str">
        <v>Completed</v>
      </c>
    </row>
    <row r="18">
      <c r="A18" t="str">
        <v/>
      </c>
      <c r="B18" t="str">
        <v>Temporary Works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a. Site Office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 xml:space="preserve">b. Warehouse </v>
      </c>
      <c r="C20" t="str">
        <v>lot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tr">
        <v>lot</v>
      </c>
      <c r="J20">
        <v>51615</v>
      </c>
      <c r="K20">
        <v>51615</v>
      </c>
      <c r="L20">
        <f>J20-K20</f>
        <v>0</v>
      </c>
      <c r="M20">
        <v>51615</v>
      </c>
      <c r="N20">
        <v>0.0011973783673111323</v>
      </c>
      <c r="O20" t="str">
        <v>Completed</v>
      </c>
    </row>
    <row r="21">
      <c r="A21" t="str">
        <v/>
      </c>
      <c r="B21" t="str">
        <v>b. Site Office Materials &amp; Communication</v>
      </c>
      <c r="C21" t="str">
        <v>lot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tr">
        <v>lot</v>
      </c>
      <c r="J21">
        <v>14747</v>
      </c>
      <c r="K21">
        <v>14747</v>
      </c>
      <c r="L21">
        <f>J21-K21</f>
        <v>0</v>
      </c>
      <c r="M21">
        <v>14747</v>
      </c>
      <c r="N21">
        <v>0.0003421047909084039</v>
      </c>
      <c r="O21" t="str">
        <v>Completed</v>
      </c>
    </row>
    <row r="22">
      <c r="A22" t="str">
        <v/>
      </c>
      <c r="B22" t="str">
        <v>c. Temporary Tools &amp; Cleaning Materials</v>
      </c>
      <c r="C22" t="str">
        <v>lot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b. Off-site Barracks_x000d_
   - Construction and-or Rent_x000d_
   - Electric Consumption_x000d_
   - Water Consumption</v>
      </c>
      <c r="C23" t="str">
        <v>lot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Temporary Utilities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a. On-Site Water Consumption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b. On-Site Electric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Security, Safety and Protection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a. Safety Officer</v>
      </c>
      <c r="C28" t="str">
        <v>lot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tr">
        <v>lot</v>
      </c>
      <c r="J28">
        <v>331806.99999999994</v>
      </c>
      <c r="K28">
        <v>0</v>
      </c>
      <c r="L28">
        <v>331806.99999999994</v>
      </c>
      <c r="M28">
        <v>331806.99999999994</v>
      </c>
      <c r="N28">
        <v>0.007697346196307368</v>
      </c>
      <c r="O28" t="str">
        <v>Completed</v>
      </c>
    </row>
    <row r="29">
      <c r="A29" t="str">
        <v/>
      </c>
      <c r="B29" t="str">
        <v>b. Personal Protective Equipment (PPE's)</v>
      </c>
      <c r="C29" t="str">
        <v>lot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tr">
        <v>lot</v>
      </c>
      <c r="J29">
        <v>73735</v>
      </c>
      <c r="K29">
        <v>0</v>
      </c>
      <c r="L29">
        <v>73735</v>
      </c>
      <c r="M29">
        <f>K29+L29</f>
        <v>0</v>
      </c>
      <c r="N29">
        <f>M29/43106674.89</f>
        <v>0</v>
      </c>
      <c r="O29" t="str">
        <v>Completed</v>
      </c>
    </row>
    <row r="30">
      <c r="A30" t="str">
        <v/>
      </c>
      <c r="B30" t="str">
        <v>b. Security Guards</v>
      </c>
      <c r="C30" t="str">
        <v>lot</v>
      </c>
      <c r="D30">
        <v>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Quality Standard and Control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a. Shopdrawings, As-built plans for Occupancy including Sign &amp; Seal</v>
      </c>
      <c r="C32" t="str">
        <v>lot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tr">
        <v>lot</v>
      </c>
      <c r="J32">
        <v>117976</v>
      </c>
      <c r="K32">
        <v>0</v>
      </c>
      <c r="L32">
        <v>117976</v>
      </c>
      <c r="M32">
        <f>K32+L32</f>
        <v>0</v>
      </c>
      <c r="N32">
        <f>M32/43106674.89</f>
        <v>0</v>
      </c>
      <c r="O32" t="str">
        <v>Completed</v>
      </c>
    </row>
    <row r="33">
      <c r="A33" t="str">
        <v/>
      </c>
      <c r="B33" t="str">
        <v>b. Material Testing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Transportation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a. Manpower Service</v>
      </c>
      <c r="C35" t="str">
        <v>lot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tr">
        <v>lot</v>
      </c>
      <c r="J35">
        <v>147470</v>
      </c>
      <c r="K35">
        <v>0</v>
      </c>
      <c r="L35">
        <v>147470</v>
      </c>
      <c r="M35">
        <v>147470</v>
      </c>
      <c r="N35">
        <v>0.003421047909084039</v>
      </c>
      <c r="O35" t="str">
        <v>Completed</v>
      </c>
    </row>
    <row r="36">
      <c r="A36" t="str">
        <v/>
      </c>
      <c r="B36" t="str">
        <v>b. Engineer Transportation</v>
      </c>
      <c r="C36" t="str">
        <v>lot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tr">
        <v>lot</v>
      </c>
      <c r="J36">
        <v>110603</v>
      </c>
      <c r="K36">
        <v>0</v>
      </c>
      <c r="L36">
        <v>110603</v>
      </c>
      <c r="M36">
        <f>K36+L36</f>
        <v>0</v>
      </c>
      <c r="N36">
        <f>M36/43106674.89</f>
        <v>0</v>
      </c>
      <c r="O36" t="str">
        <v>Completed</v>
      </c>
    </row>
    <row r="37">
      <c r="A37" t="str">
        <v/>
      </c>
      <c r="B37" t="str">
        <v>c. Village Delivery/Gate Pass Fees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f>K37+L37</f>
        <v>0</v>
      </c>
      <c r="N37">
        <f>M37/43106674.89</f>
        <v>0</v>
      </c>
      <c r="O37" t="str">
        <v/>
      </c>
    </row>
    <row r="38">
      <c r="A38" t="str">
        <v>III</v>
      </c>
      <c r="B38" t="str">
        <v>MECHANICAL WORKS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>I-A.</v>
      </c>
      <c r="B40" t="str">
        <v>AIR CONDITIONING- VRV SYSTEM 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ACCU- 18HP Model: RXQ18BYM</v>
      </c>
      <c r="C41" t="str">
        <v>units</v>
      </c>
      <c r="D41">
        <v>3</v>
      </c>
      <c r="E41">
        <v>741057.71</v>
      </c>
      <c r="F41">
        <v>2223173.13</v>
      </c>
      <c r="G41">
        <v>0.05157375593624682</v>
      </c>
      <c r="H41">
        <v>3</v>
      </c>
      <c r="I41" t="str">
        <v>units</v>
      </c>
      <c r="J41">
        <v>2223173.13</v>
      </c>
      <c r="K41">
        <v>0</v>
      </c>
      <c r="L41">
        <v>2223173.13</v>
      </c>
      <c r="M41">
        <v>2223173.13</v>
      </c>
      <c r="N41">
        <v>0.05157375593624682</v>
      </c>
      <c r="O41" t="str">
        <v>Completed</v>
      </c>
    </row>
    <row r="42">
      <c r="A42" t="str">
        <v/>
      </c>
      <c r="B42" t="str">
        <v>FCU- 2 HP Wall Mounted VRF A (OR No. 2, PNCOU, OR No.3, OR, Pantry, OR Complex Conference Room) Model: FXAQ50BVM</v>
      </c>
      <c r="C42" t="str">
        <v>units</v>
      </c>
      <c r="D42">
        <v>6</v>
      </c>
      <c r="E42">
        <v>55087.33999999999</v>
      </c>
      <c r="F42">
        <v>330524.0399999999</v>
      </c>
      <c r="G42">
        <v>0.007667583752247976</v>
      </c>
      <c r="H42">
        <v>3</v>
      </c>
      <c r="I42" t="str">
        <v>units</v>
      </c>
      <c r="J42">
        <v>165262.01999999996</v>
      </c>
      <c r="K42">
        <v>0</v>
      </c>
      <c r="L42">
        <v>165262.01999999996</v>
      </c>
      <c r="M42">
        <v>165262.01999999996</v>
      </c>
      <c r="N42">
        <v>0.003833791876123988</v>
      </c>
      <c r="O42" t="str">
        <v>Ongoing</v>
      </c>
    </row>
    <row r="43">
      <c r="A43" t="str">
        <v/>
      </c>
      <c r="B43" t="str">
        <v>FCU- 2.5HP Wall Mounted VRF A (OR No. 2 ENT, OR No. 1 ENT, Chief Nurse, OR Pharmacy) Model: FXAQ63BVM</v>
      </c>
      <c r="C43" t="str">
        <v>units</v>
      </c>
      <c r="D43">
        <v>3</v>
      </c>
      <c r="E43">
        <v>56222.86000000001</v>
      </c>
      <c r="F43">
        <v>168668.58000000002</v>
      </c>
      <c r="G43">
        <v>0.0039128181524186205</v>
      </c>
      <c r="H43">
        <v>3</v>
      </c>
      <c r="I43" t="str">
        <v>units</v>
      </c>
      <c r="J43">
        <v>168668.58000000002</v>
      </c>
      <c r="K43">
        <v>0</v>
      </c>
      <c r="L43">
        <v>168668.58000000002</v>
      </c>
      <c r="M43">
        <v>168668.58000000002</v>
      </c>
      <c r="N43">
        <v>0.0039128181524186205</v>
      </c>
      <c r="O43" t="str">
        <v>Completed</v>
      </c>
    </row>
    <row r="44">
      <c r="A44" t="str">
        <v/>
      </c>
      <c r="B44" t="str">
        <v>FCU- 6HP ceiling Cassette VRF A (Corridor Near OR No.1, Corridor Near OR No. 2 ENT) Model: FXFQ140AVM</v>
      </c>
      <c r="C44" t="str">
        <v>units</v>
      </c>
      <c r="D44">
        <v>2</v>
      </c>
      <c r="E44">
        <v>87530.69</v>
      </c>
      <c r="F44">
        <v>175061.38</v>
      </c>
      <c r="G44">
        <v>0.004061120010919959</v>
      </c>
      <c r="H44">
        <v>2</v>
      </c>
      <c r="I44" t="str">
        <v>units</v>
      </c>
      <c r="J44">
        <v>175061.38</v>
      </c>
      <c r="K44">
        <v>0</v>
      </c>
      <c r="L44">
        <v>175061.38</v>
      </c>
      <c r="M44">
        <v>175061.38</v>
      </c>
      <c r="N44">
        <v>0.004061120010919959</v>
      </c>
      <c r="O44" t="str">
        <v>Completed</v>
      </c>
    </row>
    <row r="45">
      <c r="A45" t="str">
        <v/>
      </c>
      <c r="B45" t="str">
        <v>Accessories: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Navigation Wired Controller Model: BRC1E63</v>
      </c>
      <c r="C46" t="str">
        <v>units</v>
      </c>
      <c r="D46">
        <v>11</v>
      </c>
      <c r="E46">
        <v>11760.720000000003</v>
      </c>
      <c r="F46">
        <v>129367.92000000003</v>
      </c>
      <c r="G46">
        <v>0.0030011110884827514</v>
      </c>
      <c r="H46">
        <v>11</v>
      </c>
      <c r="I46" t="str">
        <v>units</v>
      </c>
      <c r="J46">
        <v>129367.92000000003</v>
      </c>
      <c r="K46">
        <v>0</v>
      </c>
      <c r="L46">
        <v>129367.92000000003</v>
      </c>
      <c r="M46">
        <v>129367.92000000003</v>
      </c>
      <c r="N46">
        <v>0.0030011110884827514</v>
      </c>
      <c r="O46" t="str">
        <v>Completed</v>
      </c>
    </row>
    <row r="47">
      <c r="A47" t="str">
        <v/>
      </c>
      <c r="B47" t="str">
        <v>Standard panel(Fresh white) Model: BYCQ125EAF</v>
      </c>
      <c r="C47" t="str">
        <v>units</v>
      </c>
      <c r="D47">
        <v>2</v>
      </c>
      <c r="E47">
        <v>22345.370000000003</v>
      </c>
      <c r="F47">
        <v>44690.740000000005</v>
      </c>
      <c r="G47">
        <v>0.0010367475597234585</v>
      </c>
      <c r="H47">
        <v>2</v>
      </c>
      <c r="I47" t="str">
        <v>units</v>
      </c>
      <c r="J47">
        <v>44690.740000000005</v>
      </c>
      <c r="K47">
        <v>0</v>
      </c>
      <c r="L47">
        <v>44690.740000000005</v>
      </c>
      <c r="M47">
        <f>K47+L47</f>
        <v>0</v>
      </c>
      <c r="N47">
        <f>M47/43106674.89</f>
        <v>0</v>
      </c>
      <c r="O47" t="str">
        <v>Completed</v>
      </c>
    </row>
    <row r="48">
      <c r="A48" t="str">
        <v/>
      </c>
      <c r="B48" t="str">
        <v>Refnet Joints Model: KHRP26A22T</v>
      </c>
      <c r="C48" t="str">
        <v>units</v>
      </c>
      <c r="D48">
        <v>2</v>
      </c>
      <c r="E48">
        <v>4351.47</v>
      </c>
      <c r="F48">
        <v>8702.94</v>
      </c>
      <c r="G48">
        <v>0.00020189309479815451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KHRP26A33T</v>
      </c>
      <c r="C49" t="str">
        <v>units</v>
      </c>
      <c r="D49">
        <v>2</v>
      </c>
      <c r="E49">
        <v>4939.510000000001</v>
      </c>
      <c r="F49">
        <v>9879.020000000002</v>
      </c>
      <c r="G49">
        <v>0.00022917610846137797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KHRP26A732T</v>
      </c>
      <c r="C50" t="str">
        <v>units</v>
      </c>
      <c r="D50">
        <v>3</v>
      </c>
      <c r="E50">
        <v>8232.51</v>
      </c>
      <c r="F50">
        <v>24697.53</v>
      </c>
      <c r="G50">
        <v>0.0005729398071881761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KHRP26A733T</v>
      </c>
      <c r="C51" t="str">
        <v>units</v>
      </c>
      <c r="D51">
        <v>3</v>
      </c>
      <c r="E51">
        <v>14112.87</v>
      </c>
      <c r="F51">
        <v>42338.61</v>
      </c>
      <c r="G51">
        <v>0.0009821822283449149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Pipe Size Reducer Model: KHRP26M73TP</v>
      </c>
      <c r="C52" t="str">
        <v>units</v>
      </c>
      <c r="D52">
        <v>3</v>
      </c>
      <c r="E52">
        <v>5997.970000000001</v>
      </c>
      <c r="F52">
        <v>17993.910000000003</v>
      </c>
      <c r="G52">
        <v>0.00041742746444528643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VRV Multi Con piping kit Model: BHFP22R168-7</v>
      </c>
      <c r="C53" t="str">
        <v>units</v>
      </c>
      <c r="D53">
        <v>1</v>
      </c>
      <c r="E53">
        <v>39751.22</v>
      </c>
      <c r="F53">
        <v>39751.22</v>
      </c>
      <c r="G53">
        <v>0.0009221592735101353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 xml:space="preserve">Copper Pipes - Type L Hard Drawn Pipes 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1/4"</v>
      </c>
      <c r="C55" t="str">
        <v>length/s</v>
      </c>
      <c r="D55">
        <v>10</v>
      </c>
      <c r="E55">
        <v>2120.33</v>
      </c>
      <c r="F55">
        <v>21203.3</v>
      </c>
      <c r="G55">
        <v>0.000491879739138005</v>
      </c>
      <c r="H55" t="str">
        <v/>
      </c>
      <c r="I55" t="str">
        <v>length/s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>3/8"</v>
      </c>
      <c r="C56" t="str">
        <v>length/s</v>
      </c>
      <c r="D56">
        <v>13</v>
      </c>
      <c r="E56">
        <v>2952.3500000000004</v>
      </c>
      <c r="F56">
        <v>38380.55</v>
      </c>
      <c r="G56">
        <v>0.0008903621097646669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1/2"</v>
      </c>
      <c r="C57" t="str">
        <v>length/s</v>
      </c>
      <c r="D57">
        <v>14</v>
      </c>
      <c r="E57">
        <v>4696.92</v>
      </c>
      <c r="F57">
        <v>65756.88</v>
      </c>
      <c r="G57">
        <v>0.001525445425048417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5/8"</v>
      </c>
      <c r="C58" t="str">
        <v>length/s</v>
      </c>
      <c r="D58">
        <v>9</v>
      </c>
      <c r="E58">
        <v>6775.95</v>
      </c>
      <c r="F58">
        <v>60983.549999999996</v>
      </c>
      <c r="G58">
        <v>0.001414712458235722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3/4"</v>
      </c>
      <c r="C59" t="str">
        <v>length/s</v>
      </c>
      <c r="D59">
        <v>9</v>
      </c>
      <c r="E59">
        <v>8642.33</v>
      </c>
      <c r="F59">
        <v>77780.97</v>
      </c>
      <c r="G59">
        <v>0.001804383432461032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7/8"</v>
      </c>
      <c r="C60" t="str">
        <v>length/s</v>
      </c>
      <c r="D60">
        <v>2</v>
      </c>
      <c r="E60">
        <v>10870.01</v>
      </c>
      <c r="F60">
        <v>21740.02</v>
      </c>
      <c r="G60">
        <v>0.0005043307110900196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1-1/8"</v>
      </c>
      <c r="C61" t="str">
        <v>length/s</v>
      </c>
      <c r="D61">
        <v>8</v>
      </c>
      <c r="E61">
        <v>15566.920000000002</v>
      </c>
      <c r="F61">
        <v>124535.36000000002</v>
      </c>
      <c r="G61">
        <v>0.0028890040885266705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1-3/8"</v>
      </c>
      <c r="C62" t="str">
        <v>length/s</v>
      </c>
      <c r="D62">
        <v>5</v>
      </c>
      <c r="E62">
        <v>21015.330000000005</v>
      </c>
      <c r="F62">
        <v>105076.65000000002</v>
      </c>
      <c r="G62">
        <v>0.0024375958077985723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1-5/8"</v>
      </c>
      <c r="C63" t="str">
        <v>length/s</v>
      </c>
      <c r="D63">
        <v>4</v>
      </c>
      <c r="E63">
        <v>21015.33</v>
      </c>
      <c r="F63">
        <v>84061.32</v>
      </c>
      <c r="G63">
        <v>0.0019500766462388574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 xml:space="preserve">Copper Pipes Insulation 25mm Thick 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>1/4"</v>
      </c>
      <c r="C65" t="str">
        <v>length/s</v>
      </c>
      <c r="D65">
        <v>19</v>
      </c>
      <c r="E65">
        <v>433.57</v>
      </c>
      <c r="F65">
        <v>8237.83</v>
      </c>
      <c r="G65">
        <v>0.00019110335049087794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3/8"</v>
      </c>
      <c r="C66" t="str">
        <v>length/s</v>
      </c>
      <c r="D66">
        <v>26</v>
      </c>
      <c r="E66">
        <v>441.8299999999999</v>
      </c>
      <c r="F66">
        <v>11487.579999999998</v>
      </c>
      <c r="G66">
        <v>0.000266491907095922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1/2"</v>
      </c>
      <c r="C67" t="str">
        <v>length/s</v>
      </c>
      <c r="D67">
        <v>27</v>
      </c>
      <c r="E67">
        <v>516.15</v>
      </c>
      <c r="F67">
        <v>13936.05</v>
      </c>
      <c r="G67">
        <v>0.0003232921591740057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5/8"</v>
      </c>
      <c r="C68" t="str">
        <v>length/s</v>
      </c>
      <c r="D68">
        <v>18</v>
      </c>
      <c r="E68">
        <v>629.71</v>
      </c>
      <c r="F68">
        <v>11334.78</v>
      </c>
      <c r="G68">
        <v>0.00026294721244271774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3/4"</v>
      </c>
      <c r="C69" t="str">
        <v>length/s</v>
      </c>
      <c r="D69">
        <v>17</v>
      </c>
      <c r="E69">
        <v>708.16</v>
      </c>
      <c r="F69">
        <v>12038.72</v>
      </c>
      <c r="G69">
        <v>0.00027927739800670103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7/8"</v>
      </c>
      <c r="C70" t="str">
        <v>length/s</v>
      </c>
      <c r="D70">
        <v>4</v>
      </c>
      <c r="E70">
        <v>784.55</v>
      </c>
      <c r="F70">
        <v>3138.2</v>
      </c>
      <c r="G70">
        <v>0.00007280079031862434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1-1/8"</v>
      </c>
      <c r="C71" t="str">
        <v>length/s</v>
      </c>
      <c r="D71">
        <v>15</v>
      </c>
      <c r="E71">
        <v>846.49</v>
      </c>
      <c r="F71">
        <v>12697.35</v>
      </c>
      <c r="G71">
        <v>0.00029455647025434476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1-3/8"</v>
      </c>
      <c r="C72" t="str">
        <v>length/s</v>
      </c>
      <c r="D72">
        <v>10</v>
      </c>
      <c r="E72">
        <v>896.03</v>
      </c>
      <c r="F72">
        <v>8960.3</v>
      </c>
      <c r="G72">
        <v>0.00020786339987635257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1-5/8"</v>
      </c>
      <c r="C73" t="str">
        <v>length/s</v>
      </c>
      <c r="D73">
        <v>8</v>
      </c>
      <c r="E73">
        <v>896.03</v>
      </c>
      <c r="F73">
        <v>7168.24</v>
      </c>
      <c r="G73">
        <v>0.00016629071990108206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Copper Pipe Fittings</v>
      </c>
      <c r="C74" t="str">
        <v>lot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tr">
        <v>lot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Isolation Ball Valves</v>
      </c>
      <c r="C75" t="str">
        <v>pc/s</v>
      </c>
      <c r="D75">
        <v>22</v>
      </c>
      <c r="E75">
        <v>3207.4800000000005</v>
      </c>
      <c r="F75">
        <v>70564.56000000001</v>
      </c>
      <c r="G75">
        <v>0.0016369752522101802</v>
      </c>
      <c r="H75" t="str">
        <v/>
      </c>
      <c r="I75" t="str">
        <v>pc/s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PVC Cladding Works</v>
      </c>
      <c r="C76" t="str">
        <v>lot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Concrete Pad</v>
      </c>
      <c r="C77" t="str">
        <v>pcs</v>
      </c>
      <c r="D77">
        <v>3</v>
      </c>
      <c r="E77">
        <v>9622.41</v>
      </c>
      <c r="F77">
        <v>28867.23</v>
      </c>
      <c r="G77">
        <v>0.0006696696062422733</v>
      </c>
      <c r="H77" t="str">
        <v/>
      </c>
      <c r="I77" t="str">
        <v>pcs</v>
      </c>
      <c r="J77" t="str">
        <v/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Condensate Drain Pipes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32mm dia. uPVC blue pipe PNS 65</v>
      </c>
      <c r="C79" t="str">
        <v>length/s</v>
      </c>
      <c r="D79">
        <v>39</v>
      </c>
      <c r="E79">
        <v>404.15</v>
      </c>
      <c r="F79">
        <v>15761.849999999999</v>
      </c>
      <c r="G79">
        <v>0.00036564754855764736</v>
      </c>
      <c r="H79" t="str">
        <v/>
      </c>
      <c r="I79" t="str">
        <v>length/s</v>
      </c>
      <c r="J79">
        <v>0</v>
      </c>
      <c r="K79">
        <v>0</v>
      </c>
      <c r="L79"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50mm dia. PVC blue uPVC blue pipe PNS 65</v>
      </c>
      <c r="C80" t="str">
        <v>length/s</v>
      </c>
      <c r="D80">
        <v>22</v>
      </c>
      <c r="E80">
        <v>641.8299999999999</v>
      </c>
      <c r="F80">
        <v>14120.259999999998</v>
      </c>
      <c r="G80">
        <v>0.0003275655112817725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Condensate Drain Pipes Rubber Insulation 1.5 meters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>3/4'' thick for 32mm pvc</v>
      </c>
      <c r="C82" t="str">
        <v>length/s</v>
      </c>
      <c r="D82">
        <v>77</v>
      </c>
      <c r="E82">
        <v>427.66999999999996</v>
      </c>
      <c r="F82">
        <v>32930.59</v>
      </c>
      <c r="G82">
        <v>0.0007639325019624585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3/4'' thick for 50mm pvc</v>
      </c>
      <c r="C83" t="str">
        <v>length/s</v>
      </c>
      <c r="D83">
        <v>43</v>
      </c>
      <c r="E83">
        <v>812.5699999999998</v>
      </c>
      <c r="F83">
        <v>34940.509999999995</v>
      </c>
      <c r="G83">
        <v>0.0008105591556101575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Drain Pump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0</v>
      </c>
      <c r="L84" t="str">
        <v/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 (5.0m pump Lift) Model: BDU513A450VE</v>
      </c>
      <c r="C85" t="str">
        <v>pcs</v>
      </c>
      <c r="D85">
        <v>9</v>
      </c>
      <c r="E85">
        <v>30473.16</v>
      </c>
      <c r="F85">
        <v>274258.44</v>
      </c>
      <c r="G85">
        <v>0.0063623195409957985</v>
      </c>
      <c r="H85" t="str">
        <v/>
      </c>
      <c r="I85" t="str">
        <v>pcs</v>
      </c>
      <c r="J85" t="str">
        <v/>
      </c>
      <c r="K85">
        <v>0</v>
      </c>
      <c r="L85"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 t="str">
        <v/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>Fittings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Wye Reducer 50 x 32</v>
      </c>
      <c r="C88" t="str">
        <v>pcs</v>
      </c>
      <c r="D88">
        <v>11</v>
      </c>
      <c r="E88">
        <v>192.45999999999995</v>
      </c>
      <c r="F88">
        <v>2117.0599999999995</v>
      </c>
      <c r="G88">
        <v>0.00004911211559236084</v>
      </c>
      <c r="H88" t="str">
        <v/>
      </c>
      <c r="I88" t="str">
        <v>pcs</v>
      </c>
      <c r="J88">
        <v>0</v>
      </c>
      <c r="K88">
        <v>0</v>
      </c>
      <c r="L88"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Tee 32mm</v>
      </c>
      <c r="C89" t="str">
        <v>pcs</v>
      </c>
      <c r="D89">
        <v>2</v>
      </c>
      <c r="E89">
        <v>53.47</v>
      </c>
      <c r="F89">
        <v>106.94</v>
      </c>
      <c r="G89">
        <v>0.0000024808222919742803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Reducer 50 x 32</v>
      </c>
      <c r="C90" t="str">
        <v>pcs</v>
      </c>
      <c r="D90">
        <v>2</v>
      </c>
      <c r="E90">
        <v>203.14999999999998</v>
      </c>
      <c r="F90">
        <v>406.29999999999995</v>
      </c>
      <c r="G90">
        <v>0.000009425454434534786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Elbow 32mm</v>
      </c>
      <c r="C91" t="str">
        <v>pcs</v>
      </c>
      <c r="D91">
        <v>6</v>
      </c>
      <c r="E91">
        <v>43.629999999999995</v>
      </c>
      <c r="F91">
        <v>261.78</v>
      </c>
      <c r="G91">
        <v>0.00000607284140259049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Cleanout 50mm</v>
      </c>
      <c r="C92" t="str">
        <v>pcs</v>
      </c>
      <c r="D92">
        <v>4</v>
      </c>
      <c r="E92">
        <v>213.84</v>
      </c>
      <c r="F92">
        <v>855.36</v>
      </c>
      <c r="G92">
        <v>0.00001984286661364429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RELATED ELECTRICAL WORKS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>Rough-ins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liquid-tight metallic flexible conduits 1-1/2"</v>
      </c>
      <c r="C95" t="str">
        <v>m</v>
      </c>
      <c r="D95">
        <v>78</v>
      </c>
      <c r="E95">
        <v>404.15</v>
      </c>
      <c r="F95">
        <v>31523.699999999997</v>
      </c>
      <c r="G95">
        <v>0.0007312950971152947</v>
      </c>
      <c r="H95" t="str">
        <v/>
      </c>
      <c r="I95" t="str">
        <v>m</v>
      </c>
      <c r="J95">
        <v>0</v>
      </c>
      <c r="K95">
        <v>0</v>
      </c>
      <c r="L95">
        <v>0</v>
      </c>
      <c r="M95">
        <f>K95+L95</f>
        <v>0</v>
      </c>
      <c r="N95">
        <f>M95/43106674.89</f>
        <v>0</v>
      </c>
      <c r="O95" t="str">
        <v>Ongoing</v>
      </c>
    </row>
    <row r="96">
      <c r="A96" t="str">
        <v/>
      </c>
      <c r="B96" t="str">
        <v>Metallic Flexible Conduit 20mm</v>
      </c>
      <c r="C96" t="str">
        <v>m</v>
      </c>
      <c r="D96">
        <v>586</v>
      </c>
      <c r="E96">
        <v>65.87</v>
      </c>
      <c r="F96">
        <v>38599.82</v>
      </c>
      <c r="G96">
        <v>0.0008954487929885419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Connector 20mm</v>
      </c>
      <c r="C97" t="str">
        <v>pcs</v>
      </c>
      <c r="D97">
        <v>29</v>
      </c>
      <c r="E97">
        <v>32.09</v>
      </c>
      <c r="F97">
        <v>930.6100000000001</v>
      </c>
      <c r="G97">
        <v>0.000021588535937293673</v>
      </c>
      <c r="H97" t="str">
        <v/>
      </c>
      <c r="I97" t="str">
        <v>pcs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Cables / Wires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Communication wire (PD Royal Cord 0.75mm/2C)</v>
      </c>
      <c r="C99" t="str">
        <v>m</v>
      </c>
      <c r="D99">
        <v>419</v>
      </c>
      <c r="E99">
        <v>80.84000000000002</v>
      </c>
      <c r="F99">
        <v>33871.96000000001</v>
      </c>
      <c r="G99">
        <v>0.0007857706512143367</v>
      </c>
      <c r="H99" t="str">
        <v/>
      </c>
      <c r="I99" t="str">
        <v>m</v>
      </c>
      <c r="J99">
        <v>0</v>
      </c>
      <c r="K99">
        <v>0</v>
      </c>
      <c r="L99"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Wire 3.5mm² THHN (5 meters per Unit)</v>
      </c>
      <c r="C100" t="str">
        <v>m</v>
      </c>
      <c r="D100">
        <v>71</v>
      </c>
      <c r="E100">
        <v>78.48000000000002</v>
      </c>
      <c r="F100">
        <v>5572.080000000002</v>
      </c>
      <c r="G100">
        <v>0.00012926257973315926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5.5mm² THHN (5 meters per Unit)</v>
      </c>
      <c r="C101" t="str">
        <v>m</v>
      </c>
      <c r="D101">
        <v>26</v>
      </c>
      <c r="E101">
        <v>120.11</v>
      </c>
      <c r="F101">
        <v>3122.86</v>
      </c>
      <c r="G101">
        <v>0.00007244492895749768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30.0mm² THHN (5 meters per Unit)</v>
      </c>
      <c r="C102" t="str">
        <v>m</v>
      </c>
      <c r="D102">
        <v>59</v>
      </c>
      <c r="E102">
        <v>790.33</v>
      </c>
      <c r="F102">
        <v>46629.47</v>
      </c>
      <c r="G102">
        <v>0.0010817227289970633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for ground: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3.5mm² THHN (G) (5 meters per Unit)</v>
      </c>
      <c r="C104" t="str">
        <v>m</v>
      </c>
      <c r="D104">
        <v>72</v>
      </c>
      <c r="E104">
        <v>78.48000000000002</v>
      </c>
      <c r="F104">
        <v>5650.560000000001</v>
      </c>
      <c r="G104">
        <v>0.0001310831794477108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Wire 8.0mm² THHN (G) (5 meters per Unit)</v>
      </c>
      <c r="C105" t="str">
        <v>m</v>
      </c>
      <c r="D105">
        <v>20</v>
      </c>
      <c r="E105">
        <v>187.88</v>
      </c>
      <c r="F105">
        <v>3757.6</v>
      </c>
      <c r="G105">
        <v>0.00008716979469162666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>I-B.</v>
      </c>
      <c r="B106" t="str">
        <v>CONSUMABLES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/>
      </c>
      <c r="B107" t="str">
        <v>Vibration Isolator</v>
      </c>
      <c r="C107" t="str">
        <v>pcs</v>
      </c>
      <c r="D107">
        <v>20</v>
      </c>
      <c r="E107">
        <v>1389.91</v>
      </c>
      <c r="F107">
        <v>27798.2</v>
      </c>
      <c r="G107">
        <v>0.0006448699666800023</v>
      </c>
      <c r="H107" t="str">
        <v/>
      </c>
      <c r="I107" t="str">
        <v>pcs</v>
      </c>
      <c r="J107">
        <v>0</v>
      </c>
      <c r="K107">
        <v>0</v>
      </c>
      <c r="L107"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/>
      </c>
      <c r="B108" t="str">
        <v>Angle Bar, 2x2x 1/4 (6 meters)</v>
      </c>
      <c r="C108" t="str">
        <v>length/s</v>
      </c>
      <c r="D108">
        <v>7</v>
      </c>
      <c r="E108">
        <v>2523.2200000000003</v>
      </c>
      <c r="F108">
        <v>17662.54</v>
      </c>
      <c r="G108">
        <v>0.00040974025589010106</v>
      </c>
      <c r="H108" t="str">
        <v/>
      </c>
      <c r="I108" t="str">
        <v>length/s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Rugby</v>
      </c>
      <c r="C109" t="str">
        <v>bottle</v>
      </c>
      <c r="D109">
        <v>21</v>
      </c>
      <c r="E109">
        <v>277.99000000000007</v>
      </c>
      <c r="F109">
        <v>5837.790000000002</v>
      </c>
      <c r="G109">
        <v>0.00013542659031105797</v>
      </c>
      <c r="H109" t="str">
        <v/>
      </c>
      <c r="I109" t="str">
        <v>bottle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White Tape</v>
      </c>
      <c r="C110" t="str">
        <v>rolls</v>
      </c>
      <c r="D110">
        <v>42</v>
      </c>
      <c r="E110">
        <v>374.21999999999997</v>
      </c>
      <c r="F110">
        <v>15717.239999999998</v>
      </c>
      <c r="G110">
        <v>0.0003646126740257138</v>
      </c>
      <c r="H110" t="str">
        <v/>
      </c>
      <c r="I110" t="str">
        <v>rolls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Threaded rod 3/8 (6 meters)</v>
      </c>
      <c r="C111" t="str">
        <v>length/s</v>
      </c>
      <c r="D111">
        <v>94</v>
      </c>
      <c r="E111">
        <v>171.07000000000002</v>
      </c>
      <c r="F111">
        <v>16080.580000000002</v>
      </c>
      <c r="G111">
        <v>0.0003730415310629865</v>
      </c>
      <c r="H111" t="str">
        <v/>
      </c>
      <c r="I111" t="str">
        <v>length/s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Nuts and washer 3/8</v>
      </c>
      <c r="C112" t="str">
        <v>pcs</v>
      </c>
      <c r="D112">
        <v>32</v>
      </c>
      <c r="E112">
        <v>21.39</v>
      </c>
      <c r="F112">
        <v>684.48</v>
      </c>
      <c r="G112">
        <v>0.000015878747357495374</v>
      </c>
      <c r="H112" t="str">
        <v/>
      </c>
      <c r="I112" t="str">
        <v>pcs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Grip Anchor 3/8</v>
      </c>
      <c r="C113" t="str">
        <v>pcs</v>
      </c>
      <c r="D113">
        <v>32</v>
      </c>
      <c r="E113">
        <v>10.699999999999998</v>
      </c>
      <c r="F113">
        <v>342.3999999999999</v>
      </c>
      <c r="G113">
        <v>0.000007943085400897639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Paint (Red Oxide)</v>
      </c>
      <c r="C114" t="str">
        <v>gallon</v>
      </c>
      <c r="D114">
        <v>1</v>
      </c>
      <c r="E114">
        <v>3432</v>
      </c>
      <c r="F114">
        <v>3432</v>
      </c>
      <c r="G114">
        <v>0.000079616440116474</v>
      </c>
      <c r="H114" t="str">
        <v/>
      </c>
      <c r="I114" t="str">
        <v>gallon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Loop Hangers</v>
      </c>
      <c r="C115" t="str">
        <v>pcs</v>
      </c>
      <c r="D115">
        <v>351</v>
      </c>
      <c r="E115">
        <v>42.78000000000001</v>
      </c>
      <c r="F115">
        <v>15015.780000000002</v>
      </c>
      <c r="G115">
        <v>0.00034834002015505486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Freon</v>
      </c>
      <c r="C116" t="str">
        <v>tank</v>
      </c>
      <c r="D116">
        <v>6</v>
      </c>
      <c r="E116">
        <v>14497.769999999999</v>
      </c>
      <c r="F116">
        <v>86986.62</v>
      </c>
      <c r="G116">
        <v>0.0020179385262717015</v>
      </c>
      <c r="H116" t="str">
        <v/>
      </c>
      <c r="I116" t="str">
        <v>tank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Nitrogen</v>
      </c>
      <c r="C117" t="str">
        <v>tank</v>
      </c>
      <c r="D117">
        <v>3</v>
      </c>
      <c r="E117">
        <v>18175.66</v>
      </c>
      <c r="F117">
        <v>54526.979999999996</v>
      </c>
      <c r="G117">
        <v>0.001264931246474993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Mapp Gas</v>
      </c>
      <c r="C118" t="str">
        <v>tank</v>
      </c>
      <c r="D118">
        <v>11</v>
      </c>
      <c r="E118">
        <v>855.3299999999999</v>
      </c>
      <c r="F118">
        <v>9408.63</v>
      </c>
      <c r="G118">
        <v>0.0002182638773231529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Silver Rod</v>
      </c>
      <c r="C119" t="str">
        <v>pcs</v>
      </c>
      <c r="D119">
        <v>141</v>
      </c>
      <c r="E119">
        <v>53.470000000000006</v>
      </c>
      <c r="F119">
        <v>7539.27</v>
      </c>
      <c r="G119">
        <v>0.00017489797158418678</v>
      </c>
      <c r="H119" t="str">
        <v/>
      </c>
      <c r="I119" t="str">
        <v>pcs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Paint Brush</v>
      </c>
      <c r="C120" t="str">
        <v>pcs</v>
      </c>
      <c r="D120">
        <v>1</v>
      </c>
      <c r="E120">
        <v>213.84</v>
      </c>
      <c r="F120">
        <v>213.84</v>
      </c>
      <c r="G120">
        <v>0.000004960716653411073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>I-C.</v>
      </c>
      <c r="B121" t="str">
        <v>CHIPPING &amp; RESTORATION (ROUGH-ONLY)</v>
      </c>
      <c r="C121" t="str">
        <v>lot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tr">
        <v>lot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I-D.</v>
      </c>
      <c r="B122" t="str">
        <v>MISCELLANEOUS</v>
      </c>
      <c r="C122" t="str">
        <v>lot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I-E.</v>
      </c>
      <c r="B123" t="str">
        <v>TESTING &amp; COMMISSIONING</v>
      </c>
      <c r="C123" t="str">
        <v>lot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II.A</v>
      </c>
      <c r="B124" t="str">
        <v>AIR CONDITIONING- VRV SYSTEM B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/>
      </c>
      <c r="B125" t="str">
        <v>ACCU-  Model: RXQ18BYM</v>
      </c>
      <c r="C125" t="str">
        <v>units</v>
      </c>
      <c r="D125">
        <v>3</v>
      </c>
      <c r="E125">
        <v>741057.71</v>
      </c>
      <c r="F125">
        <v>2223173.13</v>
      </c>
      <c r="G125">
        <v>0.05157375593624682</v>
      </c>
      <c r="H125" t="str">
        <v/>
      </c>
      <c r="I125" t="str">
        <v>units</v>
      </c>
      <c r="J125">
        <v>0</v>
      </c>
      <c r="K125">
        <v>0</v>
      </c>
      <c r="L125"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FCU- 2 HP Wall Mounted VRF B (OR No. 1 and 3,  OR No. 1 Miyake Eye (2), OR No. 2 NSS(2), OR No. 3 Euro-open (2), OR No. 8 Ortho, NSS/ Pay, Storage Room, OR Complex Conference Room) Model: FXAQ50BVM</v>
      </c>
      <c r="C126" t="str">
        <v>units</v>
      </c>
      <c r="D126">
        <v>10</v>
      </c>
      <c r="E126">
        <v>55087.340000000004</v>
      </c>
      <c r="F126">
        <v>550873.4</v>
      </c>
      <c r="G126">
        <v>0.01277930625374663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FCU- 2.5HP Wall Mounted VRF B ( OR no. 4, 6, 13, 14, 15, OR Pharmacy) Model: FXAQ63BVM</v>
      </c>
      <c r="C127" t="str">
        <v>units</v>
      </c>
      <c r="D127">
        <v>2</v>
      </c>
      <c r="E127">
        <v>56222.86</v>
      </c>
      <c r="F127">
        <v>112445.72</v>
      </c>
      <c r="G127">
        <v>0.0026085454349457473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FCU- 6HP ceiling Cassette VRF B (Corridor near OR No. 2 NSS, Corridor Near Supply Room) Model: FXFQ140AVM</v>
      </c>
      <c r="C128" t="str">
        <v>units</v>
      </c>
      <c r="D128">
        <v>1</v>
      </c>
      <c r="E128">
        <v>87530.69</v>
      </c>
      <c r="F128">
        <v>87530.69</v>
      </c>
      <c r="G128">
        <v>0.0020305600054599795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Accessories: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Wired Remote Controller Model: BRC1E63</v>
      </c>
      <c r="C130" t="str">
        <v>units</v>
      </c>
      <c r="D130">
        <v>13</v>
      </c>
      <c r="E130">
        <v>11760.720000000001</v>
      </c>
      <c r="F130">
        <v>152889.36000000002</v>
      </c>
      <c r="G130">
        <v>0.003546767650025069</v>
      </c>
      <c r="H130" t="str">
        <v/>
      </c>
      <c r="I130" t="str">
        <v>units</v>
      </c>
      <c r="J130" t="str">
        <v/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Standard panel(Fresh white) Model: BYCQ125EAF</v>
      </c>
      <c r="C131" t="str">
        <v>units</v>
      </c>
      <c r="D131">
        <v>1</v>
      </c>
      <c r="E131">
        <v>22345.370000000003</v>
      </c>
      <c r="F131">
        <v>22345.370000000003</v>
      </c>
      <c r="G131">
        <v>0.0005183737798617293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Refnet Joints Model: KHRP26A22T</v>
      </c>
      <c r="C132" t="str">
        <v>units</v>
      </c>
      <c r="D132">
        <v>6</v>
      </c>
      <c r="E132">
        <v>4351.47</v>
      </c>
      <c r="F132">
        <v>26108.82</v>
      </c>
      <c r="G132">
        <v>0.0006056792843944635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KHRP26A33T</v>
      </c>
      <c r="C133" t="str">
        <v>units</v>
      </c>
      <c r="D133">
        <v>1</v>
      </c>
      <c r="E133">
        <v>4939.510000000001</v>
      </c>
      <c r="F133">
        <v>4939.510000000001</v>
      </c>
      <c r="G133">
        <v>0.00011458805423068899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KHRP26A72T</v>
      </c>
      <c r="C134" t="str">
        <v>units</v>
      </c>
      <c r="D134">
        <v>3</v>
      </c>
      <c r="E134">
        <v>8232.51</v>
      </c>
      <c r="F134">
        <v>24697.53</v>
      </c>
      <c r="G134">
        <v>0.0005729398071881761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 xml:space="preserve">Refnet Joints Model: KHRP26A73T </v>
      </c>
      <c r="C135" t="str">
        <v>units</v>
      </c>
      <c r="D135">
        <v>2</v>
      </c>
      <c r="E135">
        <v>14112.869999999999</v>
      </c>
      <c r="F135">
        <v>28225.739999999998</v>
      </c>
      <c r="G135">
        <v>0.0006547881522299432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Pipe Size Reducer Model: KHRP26M73TP</v>
      </c>
      <c r="C136" t="str">
        <v>units</v>
      </c>
      <c r="D136">
        <v>2</v>
      </c>
      <c r="E136">
        <v>5997.97</v>
      </c>
      <c r="F136">
        <v>11995.94</v>
      </c>
      <c r="G136">
        <v>0.0002782849762968576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VRV Multi Con piping kit Model: BHFP22R168-7</v>
      </c>
      <c r="C137" t="str">
        <v>units</v>
      </c>
      <c r="D137">
        <v>1</v>
      </c>
      <c r="E137">
        <v>39751.22</v>
      </c>
      <c r="F137">
        <v>39751.22</v>
      </c>
      <c r="G137">
        <v>0.0009221592735101353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 xml:space="preserve">Copper Pipes - Type L Hard Drawn Pipes 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1/4"</v>
      </c>
      <c r="C139" t="str">
        <v>length/s</v>
      </c>
      <c r="D139">
        <v>14</v>
      </c>
      <c r="E139">
        <v>2120.3300000000004</v>
      </c>
      <c r="F139">
        <v>29684.620000000006</v>
      </c>
      <c r="G139">
        <v>0.0006886316347932072</v>
      </c>
      <c r="H139" t="str">
        <v/>
      </c>
      <c r="I139" t="str">
        <v>length/s</v>
      </c>
      <c r="J139">
        <v>0</v>
      </c>
      <c r="K139">
        <v>0</v>
      </c>
      <c r="L139"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3/8"</v>
      </c>
      <c r="C140" t="str">
        <v>length/s</v>
      </c>
      <c r="D140">
        <v>11</v>
      </c>
      <c r="E140">
        <v>2952.3500000000004</v>
      </c>
      <c r="F140">
        <v>32475.850000000006</v>
      </c>
      <c r="G140">
        <v>0.000753383323647026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1/2"</v>
      </c>
      <c r="C141" t="str">
        <v>length/s</v>
      </c>
      <c r="D141">
        <v>15</v>
      </c>
      <c r="E141">
        <v>4696.92</v>
      </c>
      <c r="F141">
        <v>70453.8</v>
      </c>
      <c r="G141">
        <v>0.0016344058125518754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5/8"</v>
      </c>
      <c r="C142" t="str">
        <v>length/s</v>
      </c>
      <c r="D142">
        <v>12</v>
      </c>
      <c r="E142">
        <v>6775.95</v>
      </c>
      <c r="F142">
        <v>81311.4</v>
      </c>
      <c r="G142">
        <v>0.0018862832776476294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3/4"</v>
      </c>
      <c r="C143" t="str">
        <v>length/s</v>
      </c>
      <c r="D143">
        <v>13</v>
      </c>
      <c r="E143">
        <v>8642.33</v>
      </c>
      <c r="F143">
        <v>112350.29</v>
      </c>
      <c r="G143">
        <v>0.002606331624665935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7/8"</v>
      </c>
      <c r="C144" t="str">
        <v>length/s</v>
      </c>
      <c r="D144">
        <v>1</v>
      </c>
      <c r="E144">
        <v>10870.01</v>
      </c>
      <c r="F144">
        <v>10870.01</v>
      </c>
      <c r="G144">
        <v>0.0002521653555450098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1-1/8"</v>
      </c>
      <c r="C145" t="str">
        <v>length/s</v>
      </c>
      <c r="D145">
        <v>5</v>
      </c>
      <c r="E145">
        <v>15566.920000000002</v>
      </c>
      <c r="F145">
        <v>77834.6</v>
      </c>
      <c r="G145">
        <v>0.0018056275553291693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1-3/8"</v>
      </c>
      <c r="C146" t="str">
        <v>length/s</v>
      </c>
      <c r="D146">
        <v>1</v>
      </c>
      <c r="E146">
        <v>27039.769999999997</v>
      </c>
      <c r="F146">
        <v>27039.769999999997</v>
      </c>
      <c r="G146">
        <v>0.0006272757077413258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1-5/8"</v>
      </c>
      <c r="C147" t="str">
        <v>length/s</v>
      </c>
      <c r="D147">
        <v>12</v>
      </c>
      <c r="E147">
        <v>27039.77</v>
      </c>
      <c r="F147">
        <v>324477.24</v>
      </c>
      <c r="G147">
        <v>0.00752730849289591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 xml:space="preserve">Copper Pipes Insulation 25mm Thick 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1/4"</v>
      </c>
      <c r="C149" t="str">
        <v>length/s</v>
      </c>
      <c r="D149">
        <v>27</v>
      </c>
      <c r="E149">
        <v>433.57</v>
      </c>
      <c r="F149">
        <v>11706.39</v>
      </c>
      <c r="G149">
        <v>0.000271567919118616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3/8"</v>
      </c>
      <c r="C150" t="str">
        <v>length/s</v>
      </c>
      <c r="D150">
        <v>21</v>
      </c>
      <c r="E150">
        <v>441.8299999999999</v>
      </c>
      <c r="F150">
        <v>9278.429999999998</v>
      </c>
      <c r="G150">
        <v>0.0002152434634236293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1/2"</v>
      </c>
      <c r="C151" t="str">
        <v>length/s</v>
      </c>
      <c r="D151">
        <v>30</v>
      </c>
      <c r="E151">
        <v>516.15</v>
      </c>
      <c r="F151">
        <v>15484.5</v>
      </c>
      <c r="G151">
        <v>0.0003592135101933397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5/8"</v>
      </c>
      <c r="C152" t="str">
        <v>length/s</v>
      </c>
      <c r="D152">
        <v>24</v>
      </c>
      <c r="E152">
        <v>629.71</v>
      </c>
      <c r="F152">
        <v>15113.04</v>
      </c>
      <c r="G152">
        <v>0.000350596283256957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3/4"</v>
      </c>
      <c r="C153" t="str">
        <v>length/s</v>
      </c>
      <c r="D153">
        <v>26</v>
      </c>
      <c r="E153">
        <v>708.16</v>
      </c>
      <c r="F153">
        <v>18412.16</v>
      </c>
      <c r="G153">
        <v>0.00042713013812789563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7/8"</v>
      </c>
      <c r="C154" t="str">
        <v>length/s</v>
      </c>
      <c r="D154">
        <v>2</v>
      </c>
      <c r="E154">
        <v>784.55</v>
      </c>
      <c r="F154">
        <v>1569.1</v>
      </c>
      <c r="G154">
        <v>0.00003640039515931217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1-1/8"</v>
      </c>
      <c r="C155" t="str">
        <v>length/s</v>
      </c>
      <c r="D155">
        <v>9</v>
      </c>
      <c r="E155">
        <v>846.49</v>
      </c>
      <c r="F155">
        <v>7618.41</v>
      </c>
      <c r="G155">
        <v>0.00017673388215260687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1-3/8"</v>
      </c>
      <c r="C156" t="str">
        <v>length/s</v>
      </c>
      <c r="D156">
        <v>2</v>
      </c>
      <c r="E156">
        <v>1011.6600000000001</v>
      </c>
      <c r="F156">
        <v>2023.3200000000002</v>
      </c>
      <c r="G156">
        <v>0.000046937510377757636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1-5/8"</v>
      </c>
      <c r="C157" t="str">
        <v>length/s</v>
      </c>
      <c r="D157">
        <v>24</v>
      </c>
      <c r="E157">
        <v>1011.66</v>
      </c>
      <c r="F157">
        <v>24279.84</v>
      </c>
      <c r="G157">
        <v>0.0005632501245330916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Copper Pipe Fittings</v>
      </c>
      <c r="C158" t="str">
        <v>lot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tr">
        <v>lot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Isolation Ball Valves</v>
      </c>
      <c r="C159" t="str">
        <v>pc/s</v>
      </c>
      <c r="D159">
        <v>26</v>
      </c>
      <c r="E159">
        <v>3207.48</v>
      </c>
      <c r="F159">
        <v>83394.48</v>
      </c>
      <c r="G159">
        <v>0.001934607116248394</v>
      </c>
      <c r="H159" t="str">
        <v/>
      </c>
      <c r="I159" t="str">
        <v>pc/s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PVC Cladding Works</v>
      </c>
      <c r="C160" t="str">
        <v>lot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Concrete Pad</v>
      </c>
      <c r="C161" t="str">
        <v>pcs</v>
      </c>
      <c r="D161">
        <v>3</v>
      </c>
      <c r="E161">
        <v>9622.41</v>
      </c>
      <c r="F161">
        <v>28867.23</v>
      </c>
      <c r="G161">
        <v>0.0006696696062422733</v>
      </c>
      <c r="H161" t="str">
        <v/>
      </c>
      <c r="I161" t="str">
        <v>pcs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Condensate Drain Pipes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32mm dia. uPVC blue pipe PNS 65</v>
      </c>
      <c r="C163" t="str">
        <v>length/s</v>
      </c>
      <c r="D163">
        <v>37</v>
      </c>
      <c r="E163">
        <v>404.15</v>
      </c>
      <c r="F163">
        <v>14953.55</v>
      </c>
      <c r="G163">
        <v>0.0003468963922213578</v>
      </c>
      <c r="H163" t="str">
        <v/>
      </c>
      <c r="I163" t="str">
        <v>length/s</v>
      </c>
      <c r="J163">
        <v>0</v>
      </c>
      <c r="K163">
        <v>0</v>
      </c>
      <c r="L163"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50mm dia. PVC blue uPVC blue pipe PNS 65</v>
      </c>
      <c r="C164" t="str">
        <v>length/s</v>
      </c>
      <c r="D164">
        <v>24</v>
      </c>
      <c r="E164">
        <v>641.8299999999999</v>
      </c>
      <c r="F164">
        <v>15403.919999999998</v>
      </c>
      <c r="G164">
        <v>0.0003573441941255699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Condensate Drain Pipes Rubber Insulation 1.5 meters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3/4'' thick for 32mm pvc</v>
      </c>
      <c r="C166" t="str">
        <v>length/s</v>
      </c>
      <c r="D166">
        <v>74</v>
      </c>
      <c r="E166">
        <v>427.66999999999996</v>
      </c>
      <c r="F166">
        <v>31647.579999999998</v>
      </c>
      <c r="G166">
        <v>0.0007341688979898952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3/4'' thick for 50mm pvc</v>
      </c>
      <c r="C167" t="str">
        <v>length/s</v>
      </c>
      <c r="D167">
        <v>48</v>
      </c>
      <c r="E167">
        <v>812.5699999999998</v>
      </c>
      <c r="F167">
        <v>39003.35999999999</v>
      </c>
      <c r="G167">
        <v>0.0009048102202159898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Drain Pump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 xml:space="preserve"> (5.0m pump Lift) Model: BDU513A450VE</v>
      </c>
      <c r="C169" t="str">
        <v>pcs</v>
      </c>
      <c r="D169">
        <v>12</v>
      </c>
      <c r="E169">
        <v>30473.16</v>
      </c>
      <c r="F169">
        <v>365677.92</v>
      </c>
      <c r="G169">
        <v>0.008483092721327731</v>
      </c>
      <c r="H169" t="str">
        <v/>
      </c>
      <c r="I169" t="str">
        <v>pcs</v>
      </c>
      <c r="J169">
        <v>0</v>
      </c>
      <c r="K169">
        <v>0</v>
      </c>
      <c r="L169"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Fittings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>Wye 50mm</v>
      </c>
      <c r="C171" t="str">
        <v>pcs</v>
      </c>
      <c r="D171">
        <v>3</v>
      </c>
      <c r="E171">
        <v>213.84</v>
      </c>
      <c r="F171">
        <v>641.52</v>
      </c>
      <c r="G171">
        <v>0.000014882149960233215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Wye Reducer 50 x 32</v>
      </c>
      <c r="C172" t="str">
        <v>pcs</v>
      </c>
      <c r="D172">
        <v>13</v>
      </c>
      <c r="E172">
        <v>192.45999999999998</v>
      </c>
      <c r="F172">
        <v>2501.9799999999996</v>
      </c>
      <c r="G172">
        <v>0.00005804159115460828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Tee 32mm</v>
      </c>
      <c r="C173" t="str">
        <v>pcs</v>
      </c>
      <c r="D173">
        <v>3</v>
      </c>
      <c r="E173">
        <v>53.47</v>
      </c>
      <c r="F173">
        <v>160.41</v>
      </c>
      <c r="G173">
        <v>0.0000037212334379614206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Elbow 32mm</v>
      </c>
      <c r="C174" t="str">
        <v>pcs</v>
      </c>
      <c r="D174">
        <v>6</v>
      </c>
      <c r="E174">
        <v>43.629999999999995</v>
      </c>
      <c r="F174">
        <v>261.78</v>
      </c>
      <c r="G174">
        <v>0.00000607284140259049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Cleanout 50mm</v>
      </c>
      <c r="C175" t="str">
        <v>pcs</v>
      </c>
      <c r="D175">
        <v>4</v>
      </c>
      <c r="E175">
        <v>213.84</v>
      </c>
      <c r="F175">
        <v>855.36</v>
      </c>
      <c r="G175">
        <v>0.00001984286661364429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RELATED ELECTRICAL WORKS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Rough-ins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liquid-tight metallic flexible conduits 1-1/2"</v>
      </c>
      <c r="C178" t="str">
        <v>m</v>
      </c>
      <c r="D178">
        <v>78</v>
      </c>
      <c r="E178">
        <v>404.15</v>
      </c>
      <c r="F178">
        <v>31523.699999999997</v>
      </c>
      <c r="G178">
        <v>0.0007312950971152947</v>
      </c>
      <c r="H178" t="str">
        <v/>
      </c>
      <c r="I178" t="str">
        <v>m</v>
      </c>
      <c r="J178">
        <v>0</v>
      </c>
      <c r="K178">
        <v>0</v>
      </c>
      <c r="L178"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Metallic Flexible Conduit</v>
      </c>
      <c r="C179" t="str">
        <v>m</v>
      </c>
      <c r="D179">
        <v>673</v>
      </c>
      <c r="E179">
        <v>65.87</v>
      </c>
      <c r="F179">
        <v>44330.51</v>
      </c>
      <c r="G179">
        <v>0.0010283908492854756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 Connector 20mm</v>
      </c>
      <c r="C180" t="str">
        <v>pcs</v>
      </c>
      <c r="D180">
        <v>34</v>
      </c>
      <c r="E180">
        <v>32.09</v>
      </c>
      <c r="F180">
        <v>1091.0600000000002</v>
      </c>
      <c r="G180">
        <v>0.000025310697305792582</v>
      </c>
      <c r="H180" t="str">
        <v/>
      </c>
      <c r="I180" t="str">
        <v>pcs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Cables / Wires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Communication wire (PD Royal Cord 0.75mm/2C)</v>
      </c>
      <c r="C182" t="str">
        <v>m</v>
      </c>
      <c r="D182">
        <v>482</v>
      </c>
      <c r="E182">
        <v>80.84</v>
      </c>
      <c r="F182">
        <v>38964.880000000005</v>
      </c>
      <c r="G182">
        <v>0.0009039175510389266</v>
      </c>
      <c r="H182" t="str">
        <v/>
      </c>
      <c r="I182" t="str">
        <v>m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Wire 3.5mm² THHN (5 meters per Unit)</v>
      </c>
      <c r="C183" t="str">
        <v>m</v>
      </c>
      <c r="D183">
        <v>94</v>
      </c>
      <c r="E183">
        <v>78.48</v>
      </c>
      <c r="F183">
        <v>7377.120000000001</v>
      </c>
      <c r="G183">
        <v>0.00017113637316784464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5.5mm² THHN (5 meters per Unit)</v>
      </c>
      <c r="C184" t="str">
        <v>m</v>
      </c>
      <c r="D184">
        <v>13</v>
      </c>
      <c r="E184">
        <v>115.83000000000003</v>
      </c>
      <c r="F184">
        <v>1505.7900000000004</v>
      </c>
      <c r="G184">
        <v>0.00003493171310110298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30.0mm² THHN (5 meters per Unit)</v>
      </c>
      <c r="C185" t="str">
        <v>m</v>
      </c>
      <c r="D185">
        <v>59</v>
      </c>
      <c r="E185">
        <v>789.47</v>
      </c>
      <c r="F185">
        <v>46578.73</v>
      </c>
      <c r="G185">
        <v>0.0010805456491102597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for ground: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3.5mm² THHN (G) (5 meters per Unit)</v>
      </c>
      <c r="C187" t="str">
        <v>m</v>
      </c>
      <c r="D187">
        <v>85</v>
      </c>
      <c r="E187">
        <v>78.48</v>
      </c>
      <c r="F187">
        <v>6670.8</v>
      </c>
      <c r="G187">
        <v>0.00015475097573688077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Wire 8.0mm² THHN (G) (5 meters per Unit)</v>
      </c>
      <c r="C188" t="str">
        <v>m</v>
      </c>
      <c r="D188">
        <v>20</v>
      </c>
      <c r="E188">
        <v>187.88</v>
      </c>
      <c r="F188">
        <v>3757.6</v>
      </c>
      <c r="G188">
        <v>0.00008716979469162666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>II.B</v>
      </c>
      <c r="B189" t="str">
        <v>CONSUMABLES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Vibration Isolator</v>
      </c>
      <c r="C190" t="str">
        <v>pcs</v>
      </c>
      <c r="D190">
        <v>16</v>
      </c>
      <c r="E190">
        <v>1389.9099999999999</v>
      </c>
      <c r="F190">
        <v>22238.559999999998</v>
      </c>
      <c r="G190">
        <v>0.0005158959733440018</v>
      </c>
      <c r="H190" t="str">
        <v/>
      </c>
      <c r="I190" t="str">
        <v>pcs</v>
      </c>
      <c r="J190">
        <v>0</v>
      </c>
      <c r="K190">
        <v>0</v>
      </c>
      <c r="L190"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Angle Bar, 2x2x 1/4 (6 meters)</v>
      </c>
      <c r="C191" t="str">
        <v>length/s</v>
      </c>
      <c r="D191">
        <v>6</v>
      </c>
      <c r="E191">
        <v>2523.2200000000007</v>
      </c>
      <c r="F191">
        <v>15139.320000000003</v>
      </c>
      <c r="G191">
        <v>0.00035120593362008667</v>
      </c>
      <c r="H191" t="str">
        <v/>
      </c>
      <c r="I191" t="str">
        <v>length/s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Rugby</v>
      </c>
      <c r="C192" t="str">
        <v>bottle</v>
      </c>
      <c r="D192">
        <v>25</v>
      </c>
      <c r="E192">
        <v>277.99000000000007</v>
      </c>
      <c r="F192">
        <v>6949.750000000002</v>
      </c>
      <c r="G192">
        <v>0.00016122213132268806</v>
      </c>
      <c r="H192" t="str">
        <v/>
      </c>
      <c r="I192" t="str">
        <v>bottle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White Tape</v>
      </c>
      <c r="C193" t="str">
        <v>rolls</v>
      </c>
      <c r="D193">
        <v>49</v>
      </c>
      <c r="E193">
        <v>374.2199999999999</v>
      </c>
      <c r="F193">
        <v>18336.779999999995</v>
      </c>
      <c r="G193">
        <v>0.0004253814530299994</v>
      </c>
      <c r="H193" t="str">
        <v/>
      </c>
      <c r="I193" t="str">
        <v>rolls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Threaded rod 3/8 (6 meters)</v>
      </c>
      <c r="C194" t="str">
        <v>length/s</v>
      </c>
      <c r="D194">
        <v>107</v>
      </c>
      <c r="E194">
        <v>171.07000000000002</v>
      </c>
      <c r="F194">
        <v>18304.49</v>
      </c>
      <c r="G194">
        <v>0.0004246323811036123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Nuts and washer 3/8</v>
      </c>
      <c r="C195" t="str">
        <v>pcs</v>
      </c>
      <c r="D195">
        <v>32</v>
      </c>
      <c r="E195">
        <v>21.39</v>
      </c>
      <c r="F195">
        <v>684.48</v>
      </c>
      <c r="G195">
        <v>0.000015878747357495374</v>
      </c>
      <c r="H195" t="str">
        <v/>
      </c>
      <c r="I195" t="str">
        <v>pcs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Grip Anchor 3/8</v>
      </c>
      <c r="C196" t="str">
        <v>pcs</v>
      </c>
      <c r="D196">
        <v>32</v>
      </c>
      <c r="E196">
        <v>10.699999999999998</v>
      </c>
      <c r="F196">
        <v>342.3999999999999</v>
      </c>
      <c r="G196">
        <v>0.000007943085400897639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Paint (Red Oxide)</v>
      </c>
      <c r="C197" t="str">
        <v>gallon</v>
      </c>
      <c r="D197">
        <v>1</v>
      </c>
      <c r="E197">
        <v>3432</v>
      </c>
      <c r="F197">
        <v>3432</v>
      </c>
      <c r="G197">
        <v>0.000079616440116474</v>
      </c>
      <c r="H197" t="str">
        <v/>
      </c>
      <c r="I197" t="str">
        <v>gallon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Loop Hangers</v>
      </c>
      <c r="C198" t="str">
        <v>pcs</v>
      </c>
      <c r="D198">
        <v>402</v>
      </c>
      <c r="E198">
        <v>42.78</v>
      </c>
      <c r="F198">
        <v>17197.56</v>
      </c>
      <c r="G198">
        <v>0.0003989535273570714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Freon</v>
      </c>
      <c r="C199" t="str">
        <v>tank</v>
      </c>
      <c r="D199">
        <v>7</v>
      </c>
      <c r="E199">
        <v>14497.769999999999</v>
      </c>
      <c r="F199">
        <v>101484.38999999998</v>
      </c>
      <c r="G199">
        <v>0.0023542616139836515</v>
      </c>
      <c r="H199" t="str">
        <v/>
      </c>
      <c r="I199" t="str">
        <v>tank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Nitrogen</v>
      </c>
      <c r="C200" t="str">
        <v>tank</v>
      </c>
      <c r="D200">
        <v>4</v>
      </c>
      <c r="E200">
        <v>18175.66</v>
      </c>
      <c r="F200">
        <v>72702.64</v>
      </c>
      <c r="G200">
        <v>0.0016865749952999906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Mapp Gas</v>
      </c>
      <c r="C201" t="str">
        <v>tank</v>
      </c>
      <c r="D201">
        <v>12</v>
      </c>
      <c r="E201">
        <v>855.3299999999999</v>
      </c>
      <c r="F201">
        <v>10263.96</v>
      </c>
      <c r="G201">
        <v>0.00023810604798889408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Silver Rod</v>
      </c>
      <c r="C202" t="str">
        <v>pcs</v>
      </c>
      <c r="D202">
        <v>160</v>
      </c>
      <c r="E202">
        <v>53.470000000000006</v>
      </c>
      <c r="F202">
        <v>8555.2</v>
      </c>
      <c r="G202">
        <v>0.00019846578335794244</v>
      </c>
      <c r="H202" t="str">
        <v/>
      </c>
      <c r="I202" t="str">
        <v>pcs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Paint Brush</v>
      </c>
      <c r="C203" t="str">
        <v>pcs</v>
      </c>
      <c r="D203">
        <v>1</v>
      </c>
      <c r="E203">
        <v>213.84</v>
      </c>
      <c r="F203">
        <v>213.84</v>
      </c>
      <c r="G203">
        <v>0.000004960716653411073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>II.C</v>
      </c>
      <c r="B204" t="str">
        <v>CHIPPING &amp; RESTORATION (ROUGH-ONLY)</v>
      </c>
      <c r="C204" t="str">
        <v>lot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tr">
        <v>lot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II.D</v>
      </c>
      <c r="B205" t="str">
        <v>MISCELLANEOUS</v>
      </c>
      <c r="C205" t="str">
        <v>lot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II.E</v>
      </c>
      <c r="B206" t="str">
        <v>TESTING &amp; COMMISIONING</v>
      </c>
      <c r="C206" t="str">
        <v>lot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III.A</v>
      </c>
      <c r="B207" t="str">
        <v>AIR CONDITIONING- VRV SYSTEM C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ACCU- Model: RXQ18BYM</v>
      </c>
      <c r="C208" t="str">
        <v>units</v>
      </c>
      <c r="D208">
        <v>3</v>
      </c>
      <c r="E208">
        <v>741057.71</v>
      </c>
      <c r="F208">
        <v>2223173.13</v>
      </c>
      <c r="G208">
        <v>0.05157375593624682</v>
      </c>
      <c r="H208" t="str">
        <v/>
      </c>
      <c r="I208" t="str">
        <v>units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/>
      </c>
      <c r="B209" t="str">
        <v>FCU- 2 HP Wall Mounted VRF C (Storage Room, OR No. 8 Ortho, NSS/Pay, OR No. 9 Plastic Surgery (2) ) Model: FXAQ50BVM</v>
      </c>
      <c r="C209" t="str">
        <v>units</v>
      </c>
      <c r="D209">
        <v>1</v>
      </c>
      <c r="E209">
        <v>55087.34</v>
      </c>
      <c r="F209">
        <v>55087.34</v>
      </c>
      <c r="G209">
        <v>0.0012779306253746627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FCU- 2.5HP Wall Mounted VRF C (OR No. 4,  Euro- Endo (2), OR No. 7 Ortho, OR. 12 Pedia,  OR No. 10 Pay) Model: FXAQ63BVM</v>
      </c>
      <c r="C210" t="str">
        <v>units</v>
      </c>
      <c r="D210">
        <v>7</v>
      </c>
      <c r="E210">
        <v>56222.86</v>
      </c>
      <c r="F210">
        <v>393560.02</v>
      </c>
      <c r="G210">
        <v>0.009129909022310114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FCU- 6HP ceiling Cassette VRF C (Corridor near Ortho, Corridor near OR. No. 10, Corridor near NSS/Pay) Model: FXFQ140AVM</v>
      </c>
      <c r="C211" t="str">
        <v>units</v>
      </c>
      <c r="D211">
        <v>2</v>
      </c>
      <c r="E211">
        <v>87530.69</v>
      </c>
      <c r="F211">
        <v>175061.38</v>
      </c>
      <c r="G211">
        <v>0.004061120010919959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Accessories: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Wired Remote Controller Model: BRC1E63</v>
      </c>
      <c r="C213" t="str">
        <v>units</v>
      </c>
      <c r="D213">
        <v>10</v>
      </c>
      <c r="E213">
        <v>11760.720000000001</v>
      </c>
      <c r="F213">
        <v>117607.20000000001</v>
      </c>
      <c r="G213">
        <v>0.002728282807711592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Standard panel(Fresh white) Model: BYCQ125EAF</v>
      </c>
      <c r="C214" t="str">
        <v>units</v>
      </c>
      <c r="D214">
        <v>2</v>
      </c>
      <c r="E214">
        <v>22345.370000000003</v>
      </c>
      <c r="F214">
        <v>44690.740000000005</v>
      </c>
      <c r="G214">
        <v>0.0010367475597234585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Refnet Joints Model: KHRP26A33T</v>
      </c>
      <c r="C215" t="str">
        <v>units</v>
      </c>
      <c r="D215">
        <v>2</v>
      </c>
      <c r="E215">
        <v>4939.510000000001</v>
      </c>
      <c r="F215">
        <v>9879.020000000002</v>
      </c>
      <c r="G215">
        <v>0.00022917610846137797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KHRP26A72T</v>
      </c>
      <c r="C216" t="str">
        <v>units</v>
      </c>
      <c r="D216">
        <v>4</v>
      </c>
      <c r="E216">
        <v>8232.51</v>
      </c>
      <c r="F216">
        <v>32930.04</v>
      </c>
      <c r="G216">
        <v>0.0007639197429175681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 xml:space="preserve">Refnet Joints Model: KHRP26A73T </v>
      </c>
      <c r="C217" t="str">
        <v>units</v>
      </c>
      <c r="D217">
        <v>3</v>
      </c>
      <c r="E217">
        <v>14112.87</v>
      </c>
      <c r="F217">
        <v>42338.61</v>
      </c>
      <c r="G217">
        <v>0.0009821822283449149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Pipe Size Reducer Model: KHRP26M73TP</v>
      </c>
      <c r="C218" t="str">
        <v>units</v>
      </c>
      <c r="D218">
        <v>3</v>
      </c>
      <c r="E218">
        <v>5997.970000000001</v>
      </c>
      <c r="F218">
        <v>17993.910000000003</v>
      </c>
      <c r="G218">
        <v>0.00041742746444528643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VRV Multi Con piping kit Model: BHFP22R168-7</v>
      </c>
      <c r="C219" t="str">
        <v>units</v>
      </c>
      <c r="D219">
        <v>1</v>
      </c>
      <c r="E219">
        <v>39751.22</v>
      </c>
      <c r="F219">
        <v>39751.22</v>
      </c>
      <c r="G219">
        <v>0.0009221592735101353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 xml:space="preserve">Copper Pipes - Type L Hard Drawn Pipes 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1/4"</v>
      </c>
      <c r="C221" t="str">
        <v>length/s</v>
      </c>
      <c r="D221">
        <v>1</v>
      </c>
      <c r="E221">
        <v>2120.33</v>
      </c>
      <c r="F221">
        <v>2120.33</v>
      </c>
      <c r="G221">
        <v>0.000049187973913800506</v>
      </c>
      <c r="H221" t="str">
        <v/>
      </c>
      <c r="I221" t="str">
        <v>length/s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>3/8"</v>
      </c>
      <c r="C222" t="str">
        <v>length/s</v>
      </c>
      <c r="D222">
        <v>11</v>
      </c>
      <c r="E222">
        <v>2952.3500000000004</v>
      </c>
      <c r="F222">
        <v>32475.850000000006</v>
      </c>
      <c r="G222">
        <v>0.000753383323647026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1/2"</v>
      </c>
      <c r="C223" t="str">
        <v>length/s</v>
      </c>
      <c r="D223">
        <v>2</v>
      </c>
      <c r="E223">
        <v>4696.92</v>
      </c>
      <c r="F223">
        <v>9393.84</v>
      </c>
      <c r="G223">
        <v>0.00021792077500691672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5/8"</v>
      </c>
      <c r="C224" t="str">
        <v>length/s</v>
      </c>
      <c r="D224">
        <v>14</v>
      </c>
      <c r="E224">
        <v>6775.950000000002</v>
      </c>
      <c r="F224">
        <v>94863.30000000002</v>
      </c>
      <c r="G224">
        <v>0.002200663823922235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3/4"</v>
      </c>
      <c r="C225" t="str">
        <v>length/s</v>
      </c>
      <c r="D225">
        <v>9</v>
      </c>
      <c r="E225">
        <v>8642.33</v>
      </c>
      <c r="F225">
        <v>77780.97</v>
      </c>
      <c r="G225">
        <v>0.001804383432461032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7/8"</v>
      </c>
      <c r="C226" t="str">
        <v>length/s</v>
      </c>
      <c r="D226">
        <v>1</v>
      </c>
      <c r="E226">
        <v>10870.01</v>
      </c>
      <c r="F226">
        <v>10870.01</v>
      </c>
      <c r="G226">
        <v>0.0002521653555450098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1-1/8"</v>
      </c>
      <c r="C227" t="str">
        <v>length/s</v>
      </c>
      <c r="D227">
        <v>5</v>
      </c>
      <c r="E227">
        <v>15566.920000000002</v>
      </c>
      <c r="F227">
        <v>77834.6</v>
      </c>
      <c r="G227">
        <v>0.0018056275553291693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1-3/8"</v>
      </c>
      <c r="C228" t="str">
        <v>length/s</v>
      </c>
      <c r="D228">
        <v>3</v>
      </c>
      <c r="E228">
        <v>21015.330000000005</v>
      </c>
      <c r="F228">
        <v>63045.99000000002</v>
      </c>
      <c r="G228">
        <v>0.0014625574846791436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1-5/8"</v>
      </c>
      <c r="C229" t="str">
        <v>length/s</v>
      </c>
      <c r="D229">
        <v>7</v>
      </c>
      <c r="E229">
        <v>27039.769999999997</v>
      </c>
      <c r="F229">
        <v>189278.38999999998</v>
      </c>
      <c r="G229">
        <v>0.0043909299541892806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 xml:space="preserve">Copper Pipes Insulation 25mm Thick 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>1/4"</v>
      </c>
      <c r="C231" t="str">
        <v>length/s</v>
      </c>
      <c r="D231">
        <v>2</v>
      </c>
      <c r="E231">
        <v>433.56999999999994</v>
      </c>
      <c r="F231">
        <v>867.1399999999999</v>
      </c>
      <c r="G231">
        <v>0.00002011614215693452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3/8"</v>
      </c>
      <c r="C232" t="str">
        <v>length/s</v>
      </c>
      <c r="D232">
        <v>21</v>
      </c>
      <c r="E232">
        <v>441.8299999999999</v>
      </c>
      <c r="F232">
        <v>9278.429999999998</v>
      </c>
      <c r="G232">
        <v>0.0002152434634236293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1/2"</v>
      </c>
      <c r="C233" t="str">
        <v>length/s</v>
      </c>
      <c r="D233">
        <v>4</v>
      </c>
      <c r="E233">
        <v>516.15</v>
      </c>
      <c r="F233">
        <v>2064.6</v>
      </c>
      <c r="G233">
        <v>0.00004789513469244529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5/8"</v>
      </c>
      <c r="C234" t="str">
        <v>length/s</v>
      </c>
      <c r="D234">
        <v>27</v>
      </c>
      <c r="E234">
        <v>629.7099999999999</v>
      </c>
      <c r="F234">
        <v>17002.17</v>
      </c>
      <c r="G234">
        <v>0.00039442081866407656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3/4"</v>
      </c>
      <c r="C235" t="str">
        <v>length/s</v>
      </c>
      <c r="D235">
        <v>17</v>
      </c>
      <c r="E235">
        <v>708.16</v>
      </c>
      <c r="F235">
        <v>12038.72</v>
      </c>
      <c r="G235">
        <v>0.00027927739800670103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7/8"</v>
      </c>
      <c r="C236" t="str">
        <v>length/s</v>
      </c>
      <c r="D236">
        <v>2</v>
      </c>
      <c r="E236">
        <v>784.55</v>
      </c>
      <c r="F236">
        <v>1569.1</v>
      </c>
      <c r="G236">
        <v>0.00003640039515931217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1-1/8"</v>
      </c>
      <c r="C237" t="str">
        <v>length/s</v>
      </c>
      <c r="D237">
        <v>10</v>
      </c>
      <c r="E237">
        <v>846.49</v>
      </c>
      <c r="F237">
        <v>8464.9</v>
      </c>
      <c r="G237">
        <v>0.00019637098016956318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1-3/8"</v>
      </c>
      <c r="C238" t="str">
        <v>length/s</v>
      </c>
      <c r="D238">
        <v>5</v>
      </c>
      <c r="E238">
        <v>896.03</v>
      </c>
      <c r="F238">
        <v>4480.15</v>
      </c>
      <c r="G238">
        <v>0.00010393169993817628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1-5/8"</v>
      </c>
      <c r="C239" t="str">
        <v>length/s</v>
      </c>
      <c r="D239">
        <v>13</v>
      </c>
      <c r="E239">
        <v>1011.66</v>
      </c>
      <c r="F239">
        <v>13151.58</v>
      </c>
      <c r="G239">
        <v>0.0003050938174554246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Copper Pipe Fittings</v>
      </c>
      <c r="C240" t="str">
        <v>lot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tr">
        <v>lot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Isolation Ball Valves</v>
      </c>
      <c r="C241" t="str">
        <v>pc/s</v>
      </c>
      <c r="D241">
        <v>20</v>
      </c>
      <c r="E241">
        <v>3207.4800000000005</v>
      </c>
      <c r="F241">
        <v>64149.600000000006</v>
      </c>
      <c r="G241">
        <v>0.0014881593201910726</v>
      </c>
      <c r="H241" t="str">
        <v/>
      </c>
      <c r="I241" t="str">
        <v>pc/s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PVC Cladding Works</v>
      </c>
      <c r="C242" t="str">
        <v>lot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Concrete Pad</v>
      </c>
      <c r="C243" t="str">
        <v>pcs</v>
      </c>
      <c r="D243">
        <v>3</v>
      </c>
      <c r="E243">
        <v>9622.41</v>
      </c>
      <c r="F243">
        <v>28867.23</v>
      </c>
      <c r="G243">
        <v>0.0006696696062422733</v>
      </c>
      <c r="H243" t="str">
        <v/>
      </c>
      <c r="I243" t="str">
        <v>pcs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Condensate Drain Pipes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32mm dia. uPVC blue pipe PNS 65</v>
      </c>
      <c r="C245" t="str">
        <v>length/s</v>
      </c>
      <c r="D245">
        <v>33</v>
      </c>
      <c r="E245">
        <v>404.15000000000003</v>
      </c>
      <c r="F245">
        <v>13336.95</v>
      </c>
      <c r="G245">
        <v>0.0003093940795487786</v>
      </c>
      <c r="H245" t="str">
        <v/>
      </c>
      <c r="I245" t="str">
        <v>length/s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50mm dia. PVC blue uPVC blue pipe PNS 65</v>
      </c>
      <c r="C246" t="str">
        <v>length/s</v>
      </c>
      <c r="D246">
        <v>12</v>
      </c>
      <c r="E246">
        <v>641.8299999999999</v>
      </c>
      <c r="F246">
        <v>7701.959999999999</v>
      </c>
      <c r="G246">
        <v>0.00017867209706278495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Condensate Drain Pipes Rubber Insulation 1.5 meters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3/4'' thick for 32mm pvc</v>
      </c>
      <c r="C248" t="str">
        <v>length/s</v>
      </c>
      <c r="D248">
        <v>66</v>
      </c>
      <c r="E248">
        <v>427.6699999999999</v>
      </c>
      <c r="F248">
        <v>28226.219999999994</v>
      </c>
      <c r="G248">
        <v>0.0006547992873963929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3/4'' thick for 50mm pvc</v>
      </c>
      <c r="C249" t="str">
        <v>length/s</v>
      </c>
      <c r="D249">
        <v>23</v>
      </c>
      <c r="E249">
        <v>812.5699999999998</v>
      </c>
      <c r="F249">
        <v>18689.109999999997</v>
      </c>
      <c r="G249">
        <v>0.00043355489718682847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Drain Pump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 xml:space="preserve"> (5.0m pump Lift) Model: BDU513A450VE</v>
      </c>
      <c r="C251" t="str">
        <v>pcs</v>
      </c>
      <c r="D251">
        <v>11</v>
      </c>
      <c r="E251">
        <v>30473.16</v>
      </c>
      <c r="F251">
        <v>335204.76</v>
      </c>
      <c r="G251">
        <v>0.007776168327883753</v>
      </c>
      <c r="H251" t="str">
        <v/>
      </c>
      <c r="I251" t="str">
        <v>pcs</v>
      </c>
      <c r="J251">
        <v>0</v>
      </c>
      <c r="K251">
        <v>0</v>
      </c>
      <c r="L251"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Fittings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>Wye Reducer 50 x 32</v>
      </c>
      <c r="C253" t="str">
        <v>length/s</v>
      </c>
      <c r="D253">
        <v>7</v>
      </c>
      <c r="E253">
        <v>192.45999999999998</v>
      </c>
      <c r="F253">
        <v>1347.2199999999998</v>
      </c>
      <c r="G253">
        <v>0.000031253164467865996</v>
      </c>
      <c r="H253" t="str">
        <v/>
      </c>
      <c r="I253" t="str">
        <v>length/s</v>
      </c>
      <c r="J253">
        <v>0</v>
      </c>
      <c r="K253">
        <v>0</v>
      </c>
      <c r="L253"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Tee 32mm</v>
      </c>
      <c r="C254" t="str">
        <v>length/s</v>
      </c>
      <c r="D254">
        <v>6</v>
      </c>
      <c r="E254">
        <v>53.47</v>
      </c>
      <c r="F254">
        <v>320.82</v>
      </c>
      <c r="G254">
        <v>0.000007442466875922841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Elbow 32mm</v>
      </c>
      <c r="C255" t="str">
        <v>length/s</v>
      </c>
      <c r="D255">
        <v>7</v>
      </c>
      <c r="E255">
        <v>43.63</v>
      </c>
      <c r="F255">
        <v>305.41</v>
      </c>
      <c r="G255">
        <v>0.000007084981636355574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Cleanout 50mm</v>
      </c>
      <c r="C256" t="str">
        <v>length/s</v>
      </c>
      <c r="D256">
        <v>2</v>
      </c>
      <c r="E256">
        <v>213.84</v>
      </c>
      <c r="F256">
        <v>427.68</v>
      </c>
      <c r="G256">
        <v>0.000009921433306822145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RELATED ELECTRICAL WORKS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Rough-ins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liquid-tight metallic flexible conduits 1-1/2"</v>
      </c>
      <c r="C259" t="str">
        <v>m</v>
      </c>
      <c r="D259">
        <v>78</v>
      </c>
      <c r="E259">
        <v>404.15</v>
      </c>
      <c r="F259">
        <v>31523.699999999997</v>
      </c>
      <c r="G259">
        <v>0.0007312950971152947</v>
      </c>
      <c r="H259" t="str">
        <v/>
      </c>
      <c r="I259" t="str">
        <v>m</v>
      </c>
      <c r="J259">
        <v>0</v>
      </c>
      <c r="K259">
        <v>0</v>
      </c>
      <c r="L259"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Metallic Flexible Conduit 20mm</v>
      </c>
      <c r="C260" t="str">
        <v>m</v>
      </c>
      <c r="D260">
        <v>444</v>
      </c>
      <c r="E260">
        <v>65.86999999999999</v>
      </c>
      <c r="F260">
        <v>29246.279999999995</v>
      </c>
      <c r="G260">
        <v>0.0006784629079981442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Connector 20mm</v>
      </c>
      <c r="C261" t="str">
        <v>pcs</v>
      </c>
      <c r="D261">
        <v>26</v>
      </c>
      <c r="E261">
        <v>32.09</v>
      </c>
      <c r="F261">
        <v>834.3400000000001</v>
      </c>
      <c r="G261">
        <v>0.000019355239116194327</v>
      </c>
      <c r="H261" t="str">
        <v/>
      </c>
      <c r="I261" t="str">
        <v>pcs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Cables / Wires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Communication wire (PD Royal Cord 0.75mm/2C)</v>
      </c>
      <c r="C263" t="str">
        <v>m</v>
      </c>
      <c r="D263">
        <v>291</v>
      </c>
      <c r="E263">
        <v>80.84</v>
      </c>
      <c r="F263">
        <v>23524.440000000002</v>
      </c>
      <c r="G263">
        <v>0.00054572615633263</v>
      </c>
      <c r="H263" t="str">
        <v/>
      </c>
      <c r="I263" t="str">
        <v>m</v>
      </c>
      <c r="J263">
        <v>0</v>
      </c>
      <c r="K263">
        <v>0</v>
      </c>
      <c r="L263"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Wire 3.5mm² THHN (5 meters per Unit)</v>
      </c>
      <c r="C264" t="str">
        <v>m</v>
      </c>
      <c r="D264">
        <v>63</v>
      </c>
      <c r="E264">
        <v>78.49</v>
      </c>
      <c r="F264">
        <v>4944.87</v>
      </c>
      <c r="G264">
        <v>0.00011471239692271236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5.5mm² THHN (5 meters per Unit)</v>
      </c>
      <c r="C265" t="str">
        <v>m</v>
      </c>
      <c r="D265">
        <v>26</v>
      </c>
      <c r="E265">
        <v>120.11</v>
      </c>
      <c r="F265">
        <v>3122.86</v>
      </c>
      <c r="G265">
        <v>0.00007244492895749768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30.0mm² THHN (5 meters per Unit)</v>
      </c>
      <c r="C266" t="str">
        <v>m</v>
      </c>
      <c r="D266">
        <v>59</v>
      </c>
      <c r="E266">
        <v>789.47</v>
      </c>
      <c r="F266">
        <v>46578.73</v>
      </c>
      <c r="G266">
        <v>0.0010805456491102597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for ground: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Wire 3.5mm² THHN (G) (5 meters per Unit)</v>
      </c>
      <c r="C268" t="str">
        <v>m</v>
      </c>
      <c r="D268">
        <v>65</v>
      </c>
      <c r="E268">
        <v>78.49</v>
      </c>
      <c r="F268">
        <v>5101.849999999999</v>
      </c>
      <c r="G268">
        <v>0.00011835406031708417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Wire 8.0mm² THHN (G) (5 meters per Unit)</v>
      </c>
      <c r="C269" t="str">
        <v>m</v>
      </c>
      <c r="D269">
        <v>20</v>
      </c>
      <c r="E269">
        <v>187.88</v>
      </c>
      <c r="F269">
        <v>3757.6</v>
      </c>
      <c r="G269">
        <v>0.00008716979469162666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>III.B</v>
      </c>
      <c r="B270" t="str">
        <v>CONSUMABLES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Vibration Isolator</v>
      </c>
      <c r="C271" t="str">
        <v>pcs</v>
      </c>
      <c r="D271">
        <v>20</v>
      </c>
      <c r="E271">
        <v>1389.91</v>
      </c>
      <c r="F271">
        <v>27798.2</v>
      </c>
      <c r="G271">
        <v>0.0006448699666800023</v>
      </c>
      <c r="H271" t="str">
        <v/>
      </c>
      <c r="I271" t="str">
        <v>pcs</v>
      </c>
      <c r="J271">
        <v>0</v>
      </c>
      <c r="K271">
        <v>0</v>
      </c>
      <c r="L271"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>Angle Bar, 2x2x 1/4 (6 meters)</v>
      </c>
      <c r="C272" t="str">
        <v>length/s</v>
      </c>
      <c r="D272">
        <v>7</v>
      </c>
      <c r="E272">
        <v>2523.2200000000003</v>
      </c>
      <c r="F272">
        <v>17662.54</v>
      </c>
      <c r="G272">
        <v>0.00040974025589010106</v>
      </c>
      <c r="H272" t="str">
        <v/>
      </c>
      <c r="I272" t="str">
        <v>length/s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Rugby</v>
      </c>
      <c r="C273" t="str">
        <v>bottle</v>
      </c>
      <c r="D273">
        <v>15</v>
      </c>
      <c r="E273">
        <v>277.99</v>
      </c>
      <c r="F273">
        <v>4169.85</v>
      </c>
      <c r="G273">
        <v>0.00009673327879361281</v>
      </c>
      <c r="H273" t="str">
        <v/>
      </c>
      <c r="I273" t="str">
        <v>bottle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White Tape</v>
      </c>
      <c r="C274" t="str">
        <v>rolls</v>
      </c>
      <c r="D274">
        <v>30</v>
      </c>
      <c r="E274">
        <v>374.21999999999997</v>
      </c>
      <c r="F274">
        <v>11226.599999999999</v>
      </c>
      <c r="G274">
        <v>0.0002604376243040813</v>
      </c>
      <c r="H274" t="str">
        <v/>
      </c>
      <c r="I274" t="str">
        <v>rolls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Threaded rod 3/8 (6 meters)</v>
      </c>
      <c r="C275" t="str">
        <v>length/s</v>
      </c>
      <c r="D275">
        <v>65</v>
      </c>
      <c r="E275">
        <v>171.07</v>
      </c>
      <c r="F275">
        <v>11119.55</v>
      </c>
      <c r="G275">
        <v>0.00025795425020312896</v>
      </c>
      <c r="H275" t="str">
        <v/>
      </c>
      <c r="I275" t="str">
        <v>length/s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Nuts and washer 3/8</v>
      </c>
      <c r="C276" t="str">
        <v>pcs</v>
      </c>
      <c r="D276">
        <v>32</v>
      </c>
      <c r="E276">
        <v>21.39</v>
      </c>
      <c r="F276">
        <v>684.48</v>
      </c>
      <c r="G276">
        <v>0.000015878747357495374</v>
      </c>
      <c r="H276" t="str">
        <v/>
      </c>
      <c r="I276" t="str">
        <v>pcs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Grip Anchor 3/8</v>
      </c>
      <c r="C277" t="str">
        <v>pcs</v>
      </c>
      <c r="D277">
        <v>32</v>
      </c>
      <c r="E277">
        <v>10.699999999999998</v>
      </c>
      <c r="F277">
        <v>342.3999999999999</v>
      </c>
      <c r="G277">
        <v>0.000007943085400897639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Paint (Red Oxide)</v>
      </c>
      <c r="C278" t="str">
        <v>gallon</v>
      </c>
      <c r="D278">
        <v>1</v>
      </c>
      <c r="E278">
        <v>3432</v>
      </c>
      <c r="F278">
        <v>3432</v>
      </c>
      <c r="G278">
        <v>0.000079616440116474</v>
      </c>
      <c r="H278" t="str">
        <v/>
      </c>
      <c r="I278" t="str">
        <v>gallon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Loop Hangers</v>
      </c>
      <c r="C279" t="str">
        <v>pcs</v>
      </c>
      <c r="D279">
        <v>244</v>
      </c>
      <c r="E279">
        <v>42.780000000000015</v>
      </c>
      <c r="F279">
        <v>10438.320000000003</v>
      </c>
      <c r="G279">
        <v>0.00024215089720180455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Freon</v>
      </c>
      <c r="C280" t="str">
        <v>tank</v>
      </c>
      <c r="D280">
        <v>5</v>
      </c>
      <c r="E280">
        <v>14497.769999999999</v>
      </c>
      <c r="F280">
        <v>72488.84999999999</v>
      </c>
      <c r="G280">
        <v>0.0016816154385597513</v>
      </c>
      <c r="H280" t="str">
        <v/>
      </c>
      <c r="I280" t="str">
        <v>tank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Nitrogen</v>
      </c>
      <c r="C281" t="str">
        <v>tank</v>
      </c>
      <c r="D281">
        <v>3</v>
      </c>
      <c r="E281">
        <v>18175.66</v>
      </c>
      <c r="F281">
        <v>54526.979999999996</v>
      </c>
      <c r="G281">
        <v>0.001264931246474993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Mapp Gas</v>
      </c>
      <c r="C282" t="str">
        <v>tank</v>
      </c>
      <c r="D282">
        <v>8</v>
      </c>
      <c r="E282">
        <v>812.5699999999999</v>
      </c>
      <c r="F282">
        <v>6500.5599999999995</v>
      </c>
      <c r="G282">
        <v>0.00015080170336933166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Silver Rod</v>
      </c>
      <c r="C283" t="str">
        <v>pcs</v>
      </c>
      <c r="D283">
        <v>98</v>
      </c>
      <c r="E283">
        <v>53.46999999999999</v>
      </c>
      <c r="F283">
        <v>5240.0599999999995</v>
      </c>
      <c r="G283">
        <v>0.00012156029230673973</v>
      </c>
      <c r="H283" t="str">
        <v/>
      </c>
      <c r="I283" t="str">
        <v>pcs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Paint Brush</v>
      </c>
      <c r="C284" t="str">
        <v>pcs</v>
      </c>
      <c r="D284">
        <v>1</v>
      </c>
      <c r="E284">
        <v>213.84</v>
      </c>
      <c r="F284">
        <v>213.84</v>
      </c>
      <c r="G284">
        <v>0.000004960716653411073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>III.C</v>
      </c>
      <c r="B285" t="str">
        <v>CHIPPING &amp; RESTORATION (ROUGH-ONLY)</v>
      </c>
      <c r="C285" t="str">
        <v>lot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tr">
        <v>lot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III.D</v>
      </c>
      <c r="B286" t="str">
        <v>MISCELLANEOUS</v>
      </c>
      <c r="C286" t="str">
        <v>lot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III.E</v>
      </c>
      <c r="B287" t="str">
        <v>TESTING &amp; COMMISSIONING</v>
      </c>
      <c r="C287" t="str">
        <v>lot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IV.A</v>
      </c>
      <c r="B288" t="str">
        <v>AIR CONDITIONING- VRV SYSTEM D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/>
      </c>
      <c r="B289" t="str">
        <v>ACCU- Model: RXQ20BYM</v>
      </c>
      <c r="C289" t="str">
        <v>units</v>
      </c>
      <c r="D289">
        <v>3</v>
      </c>
      <c r="E289">
        <v>789317.19</v>
      </c>
      <c r="F289">
        <v>2367951.57</v>
      </c>
      <c r="G289">
        <v>0.054932364327393825</v>
      </c>
      <c r="H289" t="str">
        <v/>
      </c>
      <c r="I289" t="str">
        <v>units</v>
      </c>
      <c r="J289">
        <v>0</v>
      </c>
      <c r="K289">
        <v>0</v>
      </c>
      <c r="L289"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FCU- 2 HP Wall Mounted VRF C (Storage Room, OR No. 8 Ortho, NSS/Pay, OR No. 9 Plastic Surgery (2) ) Model: FXAQ50BVM</v>
      </c>
      <c r="C290" t="str">
        <v>units</v>
      </c>
      <c r="D290">
        <v>6</v>
      </c>
      <c r="E290">
        <v>55087.33999999999</v>
      </c>
      <c r="F290">
        <v>330524.0399999999</v>
      </c>
      <c r="G290">
        <v>0.007667583752247976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FCU- 2.5HP Wall Mounted VRF C (OR No. 4,  Euro- Endo (2), OR No. 7 Ortho, OR. 12 Pedia,  OR No. 10 Pay) Model: FXAQ63BVM</v>
      </c>
      <c r="C291" t="str">
        <v>units</v>
      </c>
      <c r="D291">
        <v>4</v>
      </c>
      <c r="E291">
        <v>56222.86</v>
      </c>
      <c r="F291">
        <v>224891.44</v>
      </c>
      <c r="G291">
        <v>0.0052170908698914945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FCU- 6HP ceiling Cassette VRF C (Corridor near Ortho, Corridor near OR. No. 10, Corridor near NSS/Pay) Model: FXFQ140AVM</v>
      </c>
      <c r="C292" t="str">
        <v>units</v>
      </c>
      <c r="D292">
        <v>2</v>
      </c>
      <c r="E292">
        <v>87530.69</v>
      </c>
      <c r="F292">
        <v>175061.38</v>
      </c>
      <c r="G292">
        <v>0.004061120010919959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Accessories: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>Wired Remote Controller Model: BRC1E63</v>
      </c>
      <c r="C294" t="str">
        <v>units</v>
      </c>
      <c r="D294">
        <v>12</v>
      </c>
      <c r="E294">
        <v>11760.720000000001</v>
      </c>
      <c r="F294">
        <v>141128.64</v>
      </c>
      <c r="G294">
        <v>0.00327393936925391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Standard panel(Fresh white) Model: BYCQ125EAF</v>
      </c>
      <c r="C295" t="str">
        <v>units</v>
      </c>
      <c r="D295">
        <v>2</v>
      </c>
      <c r="E295">
        <v>22345.370000000003</v>
      </c>
      <c r="F295">
        <v>44690.740000000005</v>
      </c>
      <c r="G295">
        <v>0.0010367475597234585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Refnet Joints Model: KHRP26A22T</v>
      </c>
      <c r="C296" t="str">
        <v>units</v>
      </c>
      <c r="D296">
        <v>4</v>
      </c>
      <c r="E296">
        <v>4351.47</v>
      </c>
      <c r="F296">
        <v>17405.88</v>
      </c>
      <c r="G296">
        <v>0.00040378618959630903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KHRP26A33T</v>
      </c>
      <c r="C297" t="str">
        <v>units</v>
      </c>
      <c r="D297">
        <v>1</v>
      </c>
      <c r="E297">
        <v>4939.510000000001</v>
      </c>
      <c r="F297">
        <v>4939.510000000001</v>
      </c>
      <c r="G297">
        <v>0.00011458805423068899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KHRP26A72T</v>
      </c>
      <c r="C298" t="str">
        <v>units</v>
      </c>
      <c r="D298">
        <v>3</v>
      </c>
      <c r="E298">
        <v>8232.51</v>
      </c>
      <c r="F298">
        <v>24697.53</v>
      </c>
      <c r="G298">
        <v>0.0005729398071881761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 xml:space="preserve">Refnet Joints Model: KHRP26A73T </v>
      </c>
      <c r="C299" t="str">
        <v>units</v>
      </c>
      <c r="D299">
        <v>3</v>
      </c>
      <c r="E299">
        <v>14112.87</v>
      </c>
      <c r="F299">
        <v>42338.61</v>
      </c>
      <c r="G299">
        <v>0.0009821822283449149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Pipe Size Reducer Model: KHRP26M73TP</v>
      </c>
      <c r="C300" t="str">
        <v>units</v>
      </c>
      <c r="D300">
        <v>3</v>
      </c>
      <c r="E300">
        <v>5997.970000000001</v>
      </c>
      <c r="F300">
        <v>17993.910000000003</v>
      </c>
      <c r="G300">
        <v>0.00041742746444528643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VRV Multi Con piping kit Model: BHFP22R168-7</v>
      </c>
      <c r="C301" t="str">
        <v>units</v>
      </c>
      <c r="D301">
        <v>1</v>
      </c>
      <c r="E301">
        <v>39751.22</v>
      </c>
      <c r="F301">
        <v>39751.22</v>
      </c>
      <c r="G301">
        <v>0.0009221592735101353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 xml:space="preserve">Copper Pipes - Type L Hard Drawn Pipes 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1/4"</v>
      </c>
      <c r="C303" t="str">
        <v>length/s</v>
      </c>
      <c r="D303">
        <v>8</v>
      </c>
      <c r="E303">
        <v>2120.33</v>
      </c>
      <c r="F303">
        <v>16962.64</v>
      </c>
      <c r="G303">
        <v>0.00039350379131040405</v>
      </c>
      <c r="H303" t="str">
        <v/>
      </c>
      <c r="I303" t="str">
        <v>length/s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>3/8"</v>
      </c>
      <c r="C304" t="str">
        <v>length/s</v>
      </c>
      <c r="D304">
        <v>12</v>
      </c>
      <c r="E304">
        <v>2952.3500000000004</v>
      </c>
      <c r="F304">
        <v>35428.200000000004</v>
      </c>
      <c r="G304">
        <v>0.0008218727167058463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1/2"</v>
      </c>
      <c r="C305" t="str">
        <v>length/s</v>
      </c>
      <c r="D305">
        <v>10</v>
      </c>
      <c r="E305">
        <v>4696.92</v>
      </c>
      <c r="F305">
        <v>46969.2</v>
      </c>
      <c r="G305">
        <v>0.0010896038750345836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5/8"</v>
      </c>
      <c r="C306" t="str">
        <v>length/s</v>
      </c>
      <c r="D306">
        <v>14</v>
      </c>
      <c r="E306">
        <v>6775.950000000002</v>
      </c>
      <c r="F306">
        <v>94863.30000000002</v>
      </c>
      <c r="G306">
        <v>0.002200663823922235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3/4"</v>
      </c>
      <c r="C307" t="str">
        <v>length/s</v>
      </c>
      <c r="D307">
        <v>16</v>
      </c>
      <c r="E307">
        <v>8642.33</v>
      </c>
      <c r="F307">
        <v>138277.28</v>
      </c>
      <c r="G307">
        <v>0.0032077927688196122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7/8"</v>
      </c>
      <c r="C308" t="str">
        <v>length/s</v>
      </c>
      <c r="D308">
        <v>2</v>
      </c>
      <c r="E308">
        <v>10870.01</v>
      </c>
      <c r="F308">
        <v>21740.02</v>
      </c>
      <c r="G308">
        <v>0.0005043307110900196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1-1/8"</v>
      </c>
      <c r="C309" t="str">
        <v>length/s</v>
      </c>
      <c r="D309">
        <v>5</v>
      </c>
      <c r="E309">
        <v>15566.920000000002</v>
      </c>
      <c r="F309">
        <v>77834.6</v>
      </c>
      <c r="G309">
        <v>0.0018056275553291693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1-3/8"</v>
      </c>
      <c r="C310" t="str">
        <v>length/s</v>
      </c>
      <c r="D310">
        <v>2</v>
      </c>
      <c r="E310">
        <v>21015.33</v>
      </c>
      <c r="F310">
        <v>42030.66</v>
      </c>
      <c r="G310">
        <v>0.0009750383231194287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1-5/8"</v>
      </c>
      <c r="C311" t="str">
        <v>length/s</v>
      </c>
      <c r="D311">
        <v>14</v>
      </c>
      <c r="E311">
        <v>27039.769999999997</v>
      </c>
      <c r="F311">
        <v>378556.77999999997</v>
      </c>
      <c r="G311">
        <v>0.008781859908378561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 xml:space="preserve">Copper Pipes Insulation 25mm Thick 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1/4"</v>
      </c>
      <c r="C313" t="str">
        <v>length/s</v>
      </c>
      <c r="D313">
        <v>16</v>
      </c>
      <c r="E313">
        <v>433.56999999999994</v>
      </c>
      <c r="F313">
        <v>6937.119999999999</v>
      </c>
      <c r="G313">
        <v>0.00016092913725547617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>3/8"</v>
      </c>
      <c r="C314" t="str">
        <v>length/s</v>
      </c>
      <c r="D314">
        <v>24</v>
      </c>
      <c r="E314">
        <v>441.8299999999999</v>
      </c>
      <c r="F314">
        <v>10603.919999999998</v>
      </c>
      <c r="G314">
        <v>0.0002459925296270049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1/2"</v>
      </c>
      <c r="C315" t="str">
        <v>length/s</v>
      </c>
      <c r="D315">
        <v>19</v>
      </c>
      <c r="E315">
        <v>516.15</v>
      </c>
      <c r="F315">
        <v>9806.85</v>
      </c>
      <c r="G315">
        <v>0.00022750188978911513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5/8"</v>
      </c>
      <c r="C316" t="str">
        <v>length/s</v>
      </c>
      <c r="D316">
        <v>27</v>
      </c>
      <c r="E316">
        <v>629.7099999999999</v>
      </c>
      <c r="F316">
        <v>17002.17</v>
      </c>
      <c r="G316">
        <v>0.00039442081866407656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3/4"</v>
      </c>
      <c r="C317" t="str">
        <v>length/s</v>
      </c>
      <c r="D317">
        <v>31</v>
      </c>
      <c r="E317">
        <v>708.16</v>
      </c>
      <c r="F317">
        <v>21952.96</v>
      </c>
      <c r="G317">
        <v>0.0005092705493063372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7/8"</v>
      </c>
      <c r="C318" t="str">
        <v>length/s</v>
      </c>
      <c r="D318">
        <v>4</v>
      </c>
      <c r="E318">
        <v>784.55</v>
      </c>
      <c r="F318">
        <v>3138.2</v>
      </c>
      <c r="G318">
        <v>0.00007280079031862434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1-1/8"</v>
      </c>
      <c r="C319" t="str">
        <v>length/s</v>
      </c>
      <c r="D319">
        <v>10</v>
      </c>
      <c r="E319">
        <v>846.49</v>
      </c>
      <c r="F319">
        <v>8464.9</v>
      </c>
      <c r="G319">
        <v>0.00019637098016956318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1-3/8"</v>
      </c>
      <c r="C320" t="str">
        <v>length/s</v>
      </c>
      <c r="D320">
        <v>4</v>
      </c>
      <c r="E320">
        <v>896.03</v>
      </c>
      <c r="F320">
        <v>3584.12</v>
      </c>
      <c r="G320">
        <v>0.00008314535995054103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1-5/8"</v>
      </c>
      <c r="C321" t="str">
        <v>length/s</v>
      </c>
      <c r="D321">
        <v>27</v>
      </c>
      <c r="E321">
        <v>1011.66</v>
      </c>
      <c r="F321">
        <v>27314.82</v>
      </c>
      <c r="G321">
        <v>0.000633656390099728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Copper Pipe Fittings</v>
      </c>
      <c r="C322" t="str">
        <v>lot</v>
      </c>
      <c r="D322">
        <v>1</v>
      </c>
      <c r="E322">
        <v>96659.96999999999</v>
      </c>
      <c r="F322">
        <v>96659.96999999999</v>
      </c>
      <c r="G322">
        <v>0.00224234344789195</v>
      </c>
      <c r="H322" t="str">
        <v/>
      </c>
      <c r="I322" t="str">
        <v>lot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Isolation Ball Valves</v>
      </c>
      <c r="C323" t="str">
        <v>pc/s</v>
      </c>
      <c r="D323">
        <v>24</v>
      </c>
      <c r="E323">
        <v>3207.48</v>
      </c>
      <c r="F323">
        <v>76979.52</v>
      </c>
      <c r="G323">
        <v>0.001785791184229287</v>
      </c>
      <c r="H323" t="str">
        <v/>
      </c>
      <c r="I323" t="str">
        <v>pc/s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PVC Cladding Works</v>
      </c>
      <c r="C324" t="str">
        <v>lot</v>
      </c>
      <c r="D324">
        <v>1</v>
      </c>
      <c r="E324">
        <v>32219.999999999996</v>
      </c>
      <c r="F324">
        <v>32219.999999999996</v>
      </c>
      <c r="G324">
        <v>0.0007474480479466178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Concrete Pad</v>
      </c>
      <c r="C325" t="str">
        <v>pcs</v>
      </c>
      <c r="D325">
        <v>3</v>
      </c>
      <c r="E325">
        <v>9622.41</v>
      </c>
      <c r="F325">
        <v>28867.23</v>
      </c>
      <c r="G325">
        <v>0.0006696696062422733</v>
      </c>
      <c r="H325" t="str">
        <v/>
      </c>
      <c r="I325" t="str">
        <v>pcs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Condensate Drain Pipes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32mm dia. uPVC blue pipe PNS 65</v>
      </c>
      <c r="C327" t="str">
        <v>length/s</v>
      </c>
      <c r="D327">
        <v>31</v>
      </c>
      <c r="E327">
        <v>404.15</v>
      </c>
      <c r="F327">
        <v>12528.65</v>
      </c>
      <c r="G327">
        <v>0.00029064292321248896</v>
      </c>
      <c r="H327" t="str">
        <v/>
      </c>
      <c r="I327" t="str">
        <v>length/s</v>
      </c>
      <c r="J327">
        <v>0</v>
      </c>
      <c r="K327">
        <v>0</v>
      </c>
      <c r="L327"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50mm dia. PVC blue uPVC blue pipe PNS 65</v>
      </c>
      <c r="C328" t="str">
        <v>length/s</v>
      </c>
      <c r="D328">
        <v>38</v>
      </c>
      <c r="E328">
        <v>641.83</v>
      </c>
      <c r="F328">
        <v>24389.54</v>
      </c>
      <c r="G328">
        <v>0.0005657949740321526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Condensate Drain Pipes Rubber Insulation 1.5 meters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>3/4'' thick for 32mm pvc</v>
      </c>
      <c r="C330" t="str">
        <v>length/s</v>
      </c>
      <c r="D330">
        <v>61</v>
      </c>
      <c r="E330">
        <v>427.66999999999996</v>
      </c>
      <c r="F330">
        <v>26087.87</v>
      </c>
      <c r="G330">
        <v>0.0006051932807754542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3/4'' thick for 50mm pvc</v>
      </c>
      <c r="C331" t="str">
        <v>length/s</v>
      </c>
      <c r="D331">
        <v>75</v>
      </c>
      <c r="E331">
        <v>812.5699999999999</v>
      </c>
      <c r="F331">
        <v>60942.74999999999</v>
      </c>
      <c r="G331">
        <v>0.0014137659690874843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Drain Pump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 xml:space="preserve"> (5.0m pump Lift) Model: BDU513A450VE</v>
      </c>
      <c r="C333" t="str">
        <v>pcs</v>
      </c>
      <c r="D333">
        <v>10</v>
      </c>
      <c r="E333">
        <v>30473.159999999996</v>
      </c>
      <c r="F333">
        <v>304731.6</v>
      </c>
      <c r="G333">
        <v>0.007069243934439775</v>
      </c>
      <c r="H333" t="str">
        <v/>
      </c>
      <c r="I333" t="str">
        <v>pcs</v>
      </c>
      <c r="J333">
        <v>0</v>
      </c>
      <c r="K333">
        <v>0</v>
      </c>
      <c r="L333"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Fittings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Wye 50mm</v>
      </c>
      <c r="C335" t="str">
        <v>length/s</v>
      </c>
      <c r="D335">
        <v>2</v>
      </c>
      <c r="E335">
        <v>213.84</v>
      </c>
      <c r="F335">
        <v>427.68</v>
      </c>
      <c r="G335">
        <v>0.000009921433306822145</v>
      </c>
      <c r="H335" t="str">
        <v/>
      </c>
      <c r="I335" t="str">
        <v>length/s</v>
      </c>
      <c r="J335">
        <v>0</v>
      </c>
      <c r="K335">
        <v>0</v>
      </c>
      <c r="L335"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Wye Reducer 50 x 32</v>
      </c>
      <c r="C336" t="str">
        <v>length/s</v>
      </c>
      <c r="D336">
        <v>11</v>
      </c>
      <c r="E336">
        <v>192.45999999999995</v>
      </c>
      <c r="F336">
        <v>2117.0599999999995</v>
      </c>
      <c r="G336">
        <v>0.00004911211559236084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Tee 32mm</v>
      </c>
      <c r="C337" t="str">
        <v>length/s</v>
      </c>
      <c r="D337">
        <v>3</v>
      </c>
      <c r="E337">
        <v>53.47</v>
      </c>
      <c r="F337">
        <v>160.41</v>
      </c>
      <c r="G337">
        <v>0.0000037212334379614206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Reducer 50 x 32</v>
      </c>
      <c r="C338" t="str">
        <v>length/s</v>
      </c>
      <c r="D338">
        <v>3</v>
      </c>
      <c r="E338">
        <v>203.14999999999998</v>
      </c>
      <c r="F338">
        <v>609.4499999999999</v>
      </c>
      <c r="G338">
        <v>0.00001413818165180218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Elbow 32mm</v>
      </c>
      <c r="C339" t="str">
        <v>length/s</v>
      </c>
      <c r="D339">
        <v>7</v>
      </c>
      <c r="E339">
        <v>43.63</v>
      </c>
      <c r="F339">
        <v>305.41</v>
      </c>
      <c r="G339">
        <v>0.000007084981636355574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Cleanout 50mm</v>
      </c>
      <c r="C340" t="str">
        <v>length/s</v>
      </c>
      <c r="D340">
        <v>6</v>
      </c>
      <c r="E340">
        <v>213.84</v>
      </c>
      <c r="F340">
        <v>1283.04</v>
      </c>
      <c r="G340">
        <v>0.00002976429992046643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RELATED ELECTRICAL WORKS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Rough-ins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liquid-tight metallic flexible conduits 2"</v>
      </c>
      <c r="C343" t="str">
        <v>m</v>
      </c>
      <c r="D343">
        <v>78</v>
      </c>
      <c r="E343">
        <v>763.3899999999999</v>
      </c>
      <c r="F343">
        <v>59544.41999999999</v>
      </c>
      <c r="G343">
        <v>0.0013813271413753428</v>
      </c>
      <c r="H343" t="str">
        <v/>
      </c>
      <c r="I343" t="str">
        <v>m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Metallic Flexible Conduit 20mm</v>
      </c>
      <c r="C344" t="str">
        <v>m</v>
      </c>
      <c r="D344">
        <v>654</v>
      </c>
      <c r="E344">
        <v>65.86999999999999</v>
      </c>
      <c r="F344">
        <v>43078.979999999996</v>
      </c>
      <c r="G344">
        <v>0.0009993575266459152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Connector 20mm</v>
      </c>
      <c r="C345" t="str">
        <v>pcs</v>
      </c>
      <c r="D345">
        <v>32</v>
      </c>
      <c r="E345">
        <v>32.09</v>
      </c>
      <c r="F345">
        <v>1026.88</v>
      </c>
      <c r="G345">
        <v>0.000023821832758393013</v>
      </c>
      <c r="H345" t="str">
        <v/>
      </c>
      <c r="I345" t="str">
        <v>pcs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Cables / Wires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Communication wire (PD Royal Cord 0.75mm/2C)</v>
      </c>
      <c r="C347" t="str">
        <v>m</v>
      </c>
      <c r="D347">
        <v>472</v>
      </c>
      <c r="E347">
        <v>80.84000000000002</v>
      </c>
      <c r="F347">
        <v>38156.48000000001</v>
      </c>
      <c r="G347">
        <v>0.0008851640748762934</v>
      </c>
      <c r="H347" t="str">
        <v/>
      </c>
      <c r="I347" t="str">
        <v>m</v>
      </c>
      <c r="J347">
        <v>0</v>
      </c>
      <c r="K347">
        <v>0</v>
      </c>
      <c r="L347"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Wire 3.5mm² THHN (5 meters per Unit)</v>
      </c>
      <c r="C348" t="str">
        <v>m</v>
      </c>
      <c r="D348">
        <v>78</v>
      </c>
      <c r="E348">
        <v>77.05</v>
      </c>
      <c r="F348">
        <v>6009.9</v>
      </c>
      <c r="G348">
        <v>0.0001394192434312346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5.5mm² THHN (5 meters per Unit)</v>
      </c>
      <c r="C349" t="str">
        <v>m</v>
      </c>
      <c r="D349">
        <v>26</v>
      </c>
      <c r="E349">
        <v>120.11</v>
      </c>
      <c r="F349">
        <v>3122.86</v>
      </c>
      <c r="G349">
        <v>0.00007244492895749768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38.0mm² THHN (5 meters per Unit)</v>
      </c>
      <c r="C350" t="str">
        <v>m</v>
      </c>
      <c r="D350">
        <v>59</v>
      </c>
      <c r="E350">
        <v>938.2</v>
      </c>
      <c r="F350">
        <v>55353.8</v>
      </c>
      <c r="G350">
        <v>0.0012841120346501395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for ground: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3.5mm² THHN (G) (5 meters per Unit)</v>
      </c>
      <c r="C352" t="str">
        <v>m</v>
      </c>
      <c r="D352">
        <v>78</v>
      </c>
      <c r="E352">
        <v>75.36</v>
      </c>
      <c r="F352">
        <v>5878.08</v>
      </c>
      <c r="G352">
        <v>0.00013636124834494275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Wire 14.0mm² THHN (G) (5 meters per Unit)</v>
      </c>
      <c r="C353" t="str">
        <v>m</v>
      </c>
      <c r="D353">
        <v>20</v>
      </c>
      <c r="E353">
        <v>311.01000000000005</v>
      </c>
      <c r="F353">
        <v>6220.200000000001</v>
      </c>
      <c r="G353">
        <v>0.000144297838232078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>IV.B</v>
      </c>
      <c r="B354" t="str">
        <v>CONSUMABLES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Vibration Isolator</v>
      </c>
      <c r="C355" t="str">
        <v>pcs</v>
      </c>
      <c r="D355">
        <v>20</v>
      </c>
      <c r="E355">
        <v>1389.91</v>
      </c>
      <c r="F355">
        <v>27798.2</v>
      </c>
      <c r="G355">
        <v>0.0006448699666800023</v>
      </c>
      <c r="H355" t="str">
        <v/>
      </c>
      <c r="I355" t="str">
        <v>pcs</v>
      </c>
      <c r="J355">
        <v>0</v>
      </c>
      <c r="K355">
        <v>0</v>
      </c>
      <c r="L355"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/>
      </c>
      <c r="B356" t="str">
        <v>Angle Bar, 2x2x 1/4 (6 meters)</v>
      </c>
      <c r="C356" t="str">
        <v>length/s</v>
      </c>
      <c r="D356">
        <v>7</v>
      </c>
      <c r="E356">
        <v>2523.2200000000003</v>
      </c>
      <c r="F356">
        <v>17662.54</v>
      </c>
      <c r="G356">
        <v>0.00040974025589010106</v>
      </c>
      <c r="H356" t="str">
        <v/>
      </c>
      <c r="I356" t="str">
        <v>length/s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Rugby</v>
      </c>
      <c r="C357" t="str">
        <v>bottle</v>
      </c>
      <c r="D357">
        <v>24</v>
      </c>
      <c r="E357">
        <v>277.99000000000007</v>
      </c>
      <c r="F357">
        <v>6671.760000000002</v>
      </c>
      <c r="G357">
        <v>0.00015477324606978052</v>
      </c>
      <c r="H357" t="str">
        <v/>
      </c>
      <c r="I357" t="str">
        <v>bottle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White Tape</v>
      </c>
      <c r="C358" t="str">
        <v>rolls</v>
      </c>
      <c r="D358">
        <v>47</v>
      </c>
      <c r="E358">
        <v>374.2199999999999</v>
      </c>
      <c r="F358">
        <v>17588.339999999997</v>
      </c>
      <c r="G358">
        <v>0.00040801894474306065</v>
      </c>
      <c r="H358" t="str">
        <v/>
      </c>
      <c r="I358" t="str">
        <v>rolls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Threaded rod 3/8 (6 meters)</v>
      </c>
      <c r="C359" t="str">
        <v>length/s</v>
      </c>
      <c r="D359">
        <v>104</v>
      </c>
      <c r="E359">
        <v>171.07</v>
      </c>
      <c r="F359">
        <v>17791.28</v>
      </c>
      <c r="G359">
        <v>0.0004127268003250063</v>
      </c>
      <c r="H359" t="str">
        <v/>
      </c>
      <c r="I359" t="str">
        <v>length/s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Nuts and washer 3/8</v>
      </c>
      <c r="C360" t="str">
        <v>pcs</v>
      </c>
      <c r="D360">
        <v>32</v>
      </c>
      <c r="E360">
        <v>21.39</v>
      </c>
      <c r="F360">
        <v>684.48</v>
      </c>
      <c r="G360">
        <v>0.000015878747357495374</v>
      </c>
      <c r="H360" t="str">
        <v/>
      </c>
      <c r="I360" t="str">
        <v>pcs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Grip Anchor 3/8</v>
      </c>
      <c r="C361" t="str">
        <v>pcs</v>
      </c>
      <c r="D361">
        <v>32</v>
      </c>
      <c r="E361">
        <v>10.699999999999998</v>
      </c>
      <c r="F361">
        <v>342.3999999999999</v>
      </c>
      <c r="G361">
        <v>0.000007943085400897639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Paint (Red Oxide)</v>
      </c>
      <c r="C362" t="str">
        <v>gallon</v>
      </c>
      <c r="D362">
        <v>1</v>
      </c>
      <c r="E362">
        <v>3432</v>
      </c>
      <c r="F362">
        <v>3432</v>
      </c>
      <c r="G362">
        <v>0.000079616440116474</v>
      </c>
      <c r="H362" t="str">
        <v/>
      </c>
      <c r="I362" t="str">
        <v>gallon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Loop Hangers</v>
      </c>
      <c r="C363" t="str">
        <v>pcs</v>
      </c>
      <c r="D363">
        <v>393</v>
      </c>
      <c r="E363">
        <v>42.78</v>
      </c>
      <c r="F363">
        <v>16812.54</v>
      </c>
      <c r="G363">
        <v>0.0003900217319684802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Freon</v>
      </c>
      <c r="C364" t="str">
        <v>tank</v>
      </c>
      <c r="D364">
        <v>8</v>
      </c>
      <c r="E364">
        <v>14497.769999999999</v>
      </c>
      <c r="F364">
        <v>115982.15999999999</v>
      </c>
      <c r="G364">
        <v>0.002690584701695602</v>
      </c>
      <c r="H364" t="str">
        <v/>
      </c>
      <c r="I364" t="str">
        <v>tank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Nitrogen</v>
      </c>
      <c r="C365" t="str">
        <v>tank</v>
      </c>
      <c r="D365">
        <v>4</v>
      </c>
      <c r="E365">
        <v>18175.66</v>
      </c>
      <c r="F365">
        <v>72702.64</v>
      </c>
      <c r="G365">
        <v>0.0016865749952999906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Mapp Gas</v>
      </c>
      <c r="C366" t="str">
        <v>tank</v>
      </c>
      <c r="D366">
        <v>12</v>
      </c>
      <c r="E366">
        <v>812.5699999999998</v>
      </c>
      <c r="F366">
        <v>9750.839999999998</v>
      </c>
      <c r="G366">
        <v>0.00022620255505399745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Silver Rod</v>
      </c>
      <c r="C367" t="str">
        <v>pcs</v>
      </c>
      <c r="D367">
        <v>158</v>
      </c>
      <c r="E367">
        <v>53.47</v>
      </c>
      <c r="F367">
        <v>8448.26</v>
      </c>
      <c r="G367">
        <v>0.0001959849610659682</v>
      </c>
      <c r="H367" t="str">
        <v/>
      </c>
      <c r="I367" t="str">
        <v>pcs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Paint Brush</v>
      </c>
      <c r="C368" t="str">
        <v>pcs</v>
      </c>
      <c r="D368">
        <v>1</v>
      </c>
      <c r="E368">
        <v>213.84</v>
      </c>
      <c r="F368">
        <v>213.84</v>
      </c>
      <c r="G368">
        <v>0.000004960716653411073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>IV.C</v>
      </c>
      <c r="B369" t="str">
        <v>CHIPPING &amp; RESTORATION (ROUGH-ONLY)</v>
      </c>
      <c r="C369" t="str">
        <v>lot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tr">
        <v>lot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IV.D</v>
      </c>
      <c r="B370" t="str">
        <v>MISCELLANEOUS</v>
      </c>
      <c r="C370" t="str">
        <v>lot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IV.E</v>
      </c>
      <c r="B371" t="str">
        <v>TESTING &amp; COMMISSIONING</v>
      </c>
      <c r="C371" t="str">
        <v>lot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</v>
      </c>
      <c r="B372" t="str">
        <v>ELECTRICAL WORKS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I.</v>
      </c>
      <c r="B374" t="str">
        <v>Service Entrance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II.</v>
      </c>
      <c r="B375" t="str">
        <v>Feeder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/>
      </c>
      <c r="B376" t="str">
        <v>Feeder Wire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250mm² THHN</v>
      </c>
      <c r="C377" t="str">
        <v>m</v>
      </c>
      <c r="D377">
        <v>726</v>
      </c>
      <c r="E377">
        <v>7092.3600000000015</v>
      </c>
      <c r="F377">
        <v>5149053.360000001</v>
      </c>
      <c r="G377">
        <v>0.11944909629748525</v>
      </c>
      <c r="H377" t="str">
        <v/>
      </c>
      <c r="I377" t="str">
        <v>m</v>
      </c>
      <c r="J377">
        <v>0</v>
      </c>
      <c r="K377">
        <v>0</v>
      </c>
      <c r="L377"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200mm² THHN</v>
      </c>
      <c r="C378" t="str">
        <v>m</v>
      </c>
      <c r="D378">
        <v>117</v>
      </c>
      <c r="E378">
        <v>5509.16</v>
      </c>
      <c r="F378">
        <v>644571.72</v>
      </c>
      <c r="G378">
        <v>0.014952944564729793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38mm² THHN</v>
      </c>
      <c r="C379" t="str">
        <v>m</v>
      </c>
      <c r="D379">
        <v>390</v>
      </c>
      <c r="E379">
        <v>1126.48</v>
      </c>
      <c r="F379">
        <v>439327.2</v>
      </c>
      <c r="G379">
        <v>0.010191628120727913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for ground: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/>
      </c>
      <c r="B381" t="str">
        <v>80mm² THHN</v>
      </c>
      <c r="C381" t="str">
        <v>m</v>
      </c>
      <c r="D381">
        <v>242</v>
      </c>
      <c r="E381">
        <v>2129.76</v>
      </c>
      <c r="F381">
        <v>515401.92000000004</v>
      </c>
      <c r="G381">
        <v>0.01195642951619922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30mm² THHN</v>
      </c>
      <c r="C382" t="str">
        <v>m</v>
      </c>
      <c r="D382">
        <v>39</v>
      </c>
      <c r="E382">
        <v>823.6899999999999</v>
      </c>
      <c r="F382">
        <v>32123.909999999996</v>
      </c>
      <c r="G382">
        <v>0.0007452189268129371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14mm² THHN</v>
      </c>
      <c r="C383" t="str">
        <v>m</v>
      </c>
      <c r="D383">
        <v>130</v>
      </c>
      <c r="E383">
        <v>358.86999999999995</v>
      </c>
      <c r="F383">
        <v>46653.09999999999</v>
      </c>
      <c r="G383">
        <v>0.0010822709039620842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Roughing-ins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90mm dia. IMC</v>
      </c>
      <c r="C385" t="str">
        <v>length/s</v>
      </c>
      <c r="D385">
        <v>94</v>
      </c>
      <c r="E385">
        <v>9301.67</v>
      </c>
      <c r="F385">
        <v>874356.98</v>
      </c>
      <c r="G385">
        <v>0.02028356356019553</v>
      </c>
      <c r="H385" t="str">
        <v/>
      </c>
      <c r="I385" t="str">
        <v>length/s</v>
      </c>
      <c r="J385">
        <v>0</v>
      </c>
      <c r="K385">
        <v>0</v>
      </c>
      <c r="L385"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40mm dia. IMC</v>
      </c>
      <c r="C386" t="str">
        <v>length/s</v>
      </c>
      <c r="D386">
        <v>45</v>
      </c>
      <c r="E386">
        <v>2672.8999999999996</v>
      </c>
      <c r="F386">
        <v>120280.49999999999</v>
      </c>
      <c r="G386">
        <v>0.0027902987253582605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>III.</v>
      </c>
      <c r="B387" t="str">
        <v>Panel Board &amp; Pullbox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DP-Main</v>
      </c>
      <c r="C388" t="str">
        <v>Assy</v>
      </c>
      <c r="D388">
        <v>1</v>
      </c>
      <c r="E388">
        <v>772225.4500000001</v>
      </c>
      <c r="F388">
        <v>772225.4500000001</v>
      </c>
      <c r="G388">
        <v>0.01791428942201113</v>
      </c>
      <c r="H388" t="str">
        <v/>
      </c>
      <c r="I388" t="str">
        <v>Assy</v>
      </c>
      <c r="J388">
        <v>0</v>
      </c>
      <c r="K388">
        <v>0</v>
      </c>
      <c r="L388"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Main CB: 1200AT, 3P, 230V, 60Hz, Bolt-on Nema12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Branches: 1 - 700AT, 3P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 xml:space="preserve">4 - 125AT, 3P 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PP-System A</v>
      </c>
      <c r="C392" t="str">
        <v>Assy</v>
      </c>
      <c r="D392">
        <v>1</v>
      </c>
      <c r="E392">
        <v>125827.10999999999</v>
      </c>
      <c r="F392">
        <v>125827.10999999999</v>
      </c>
      <c r="G392">
        <v>0.002918970445321674</v>
      </c>
      <c r="H392" t="str">
        <v/>
      </c>
      <c r="I392" t="str">
        <v>Assy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>Main CB: 125AT, 3P, 230V, 60Hz, Bolt-on Nema12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Branches: 2 - 40AT, 3P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 xml:space="preserve">3 - 40AT, 2P 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9 - 30AT,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>PP-System B</v>
      </c>
      <c r="C397" t="str">
        <v>Assy</v>
      </c>
      <c r="D397">
        <v>1</v>
      </c>
      <c r="E397">
        <v>135268.13</v>
      </c>
      <c r="F397">
        <v>135268.13</v>
      </c>
      <c r="G397">
        <v>0.0031379857143975587</v>
      </c>
      <c r="H397" t="str">
        <v/>
      </c>
      <c r="I397" t="str">
        <v>Assy</v>
      </c>
      <c r="J397">
        <v>0</v>
      </c>
      <c r="K397">
        <v>0</v>
      </c>
      <c r="L397">
        <v>0</v>
      </c>
      <c r="M397">
        <f>K397+L397</f>
        <v>0</v>
      </c>
      <c r="N397">
        <f>M397/43106674.89</f>
        <v>0</v>
      </c>
      <c r="O397" t="str">
        <v>Ongoing</v>
      </c>
    </row>
    <row r="398">
      <c r="A398" t="str">
        <v/>
      </c>
      <c r="B398" t="str">
        <v>Main CB: 125AT, 3P, 230V, 60Hz, Bolt-on Nema12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Branches: 1 - 40AT, 3P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 xml:space="preserve">2 - 40AT, 2P 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11 - 30AT,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PP-System C</v>
      </c>
      <c r="C402" t="str">
        <v>Assy</v>
      </c>
      <c r="D402">
        <v>1</v>
      </c>
      <c r="E402">
        <v>120190.81999999999</v>
      </c>
      <c r="F402">
        <v>120190.81999999999</v>
      </c>
      <c r="G402">
        <v>0.0027882183050932123</v>
      </c>
      <c r="H402" t="str">
        <v/>
      </c>
      <c r="I402" t="str">
        <v>Assy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Ongoing</v>
      </c>
    </row>
    <row r="403">
      <c r="A403" t="str">
        <v/>
      </c>
      <c r="B403" t="str">
        <v>Main CB: 125AT, 3P, 230V, 60Hz, Bolt-on Nema12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Branches: 2 - 40AT, 3P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 xml:space="preserve">7 - 40AT, 2P 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5 - 30AT,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PP-System D</v>
      </c>
      <c r="C407" t="str">
        <v>Assy</v>
      </c>
      <c r="D407">
        <v>1</v>
      </c>
      <c r="E407">
        <v>131472.25</v>
      </c>
      <c r="F407">
        <v>131472.25</v>
      </c>
      <c r="G407">
        <v>0.003049927890181556</v>
      </c>
      <c r="H407" t="str">
        <v/>
      </c>
      <c r="I407" t="str">
        <v>Assy</v>
      </c>
      <c r="J407">
        <v>0</v>
      </c>
      <c r="K407">
        <v>0</v>
      </c>
      <c r="L407"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Main CB: 125AT, 3P, 230V, 60Hz, Bolt-on Nema12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Branches: 3 - 40AT, 3P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 xml:space="preserve">4 - 40AT, 2P 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8 - 30AT,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>PP-Outdoor</v>
      </c>
      <c r="C412" t="str">
        <v>Assy</v>
      </c>
      <c r="D412">
        <v>1</v>
      </c>
      <c r="E412">
        <v>473575.57</v>
      </c>
      <c r="F412">
        <v>473575.57</v>
      </c>
      <c r="G412">
        <v>0.010986130830282648</v>
      </c>
      <c r="H412" t="str">
        <v/>
      </c>
      <c r="I412" t="str">
        <v>Assy</v>
      </c>
      <c r="J412">
        <v>0</v>
      </c>
      <c r="K412">
        <v>0</v>
      </c>
      <c r="L412">
        <v>0</v>
      </c>
      <c r="M412">
        <f>K412+L412</f>
        <v>0</v>
      </c>
      <c r="N412">
        <f>M412/43106674.89</f>
        <v>0</v>
      </c>
      <c r="O412" t="str">
        <v>Ongoing</v>
      </c>
    </row>
    <row r="413">
      <c r="A413" t="str">
        <v/>
      </c>
      <c r="B413" t="str">
        <v>Main CB: 700AT, 3P, 230V, 60Hz, Bolt-on Nema12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Branches: 4 - 150AT, 3P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Transformer</v>
      </c>
      <c r="C415" t="str">
        <v>Assy</v>
      </c>
      <c r="D415">
        <v>1</v>
      </c>
      <c r="E415">
        <v>932598.8200000001</v>
      </c>
      <c r="F415">
        <v>932598.8200000001</v>
      </c>
      <c r="G415">
        <v>0.021634673107582846</v>
      </c>
      <c r="H415" t="str">
        <v/>
      </c>
      <c r="I415" t="str">
        <v>Assy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 xml:space="preserve">
      <c r="A416" t="str">
        <v/>
      </c>
      <c r="B416" t="str" xml:space="preserve">
        <v xml:space="preserve">500KVA Step Down Dry Type Transformer, 480V to 230V, 3P_x000d_
Floor mounted, Indoor Type, 60Hz, Nema1 "TRANSPHIL"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ECB 1250AT Nema 12</v>
      </c>
      <c r="C417" t="str">
        <v>pc</v>
      </c>
      <c r="D417">
        <v>1</v>
      </c>
      <c r="E417">
        <v>302047.59</v>
      </c>
      <c r="F417">
        <v>302047.59</v>
      </c>
      <c r="G417">
        <v>0.007006979563391694</v>
      </c>
      <c r="H417" t="str">
        <v/>
      </c>
      <c r="I417" t="str">
        <v>pc</v>
      </c>
      <c r="J417">
        <v>0</v>
      </c>
      <c r="K417">
        <v>0</v>
      </c>
      <c r="L417"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Pullbox (350mm x 350mm x 200mm)</v>
      </c>
      <c r="C418" t="str">
        <v>pc</v>
      </c>
      <c r="D418">
        <v>5</v>
      </c>
      <c r="E418">
        <v>5538.24</v>
      </c>
      <c r="F418">
        <v>27691.199999999997</v>
      </c>
      <c r="G418">
        <v>0.0006423877524922217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Wire Gutter</v>
      </c>
      <c r="C419" t="str">
        <v>lot</v>
      </c>
      <c r="D419">
        <v>1</v>
      </c>
      <c r="E419">
        <v>32074.68</v>
      </c>
      <c r="F419">
        <v>32074.68</v>
      </c>
      <c r="G419">
        <v>0.0007440768763039237</v>
      </c>
      <c r="H419" t="str">
        <v/>
      </c>
      <c r="I419" t="str">
        <v>lot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>IV.</v>
      </c>
      <c r="B420" t="str">
        <v>Mechanical System Power Supply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ECB's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 150AT, 3P, 230V, Nema3R</v>
      </c>
      <c r="C422" t="str">
        <v>pc</v>
      </c>
      <c r="D422">
        <v>4</v>
      </c>
      <c r="E422">
        <v>29019.109999999993</v>
      </c>
      <c r="F422">
        <v>116076.43999999997</v>
      </c>
      <c r="G422">
        <v>0.002692771833972461</v>
      </c>
      <c r="H422" t="str">
        <v/>
      </c>
      <c r="I422" t="str">
        <v>pc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Ongoing</v>
      </c>
    </row>
    <row r="423">
      <c r="A423" t="str">
        <v/>
      </c>
      <c r="B423" t="str">
        <v>ECB 40AT, 3P, 230V, Nema3R</v>
      </c>
      <c r="C423" t="str">
        <v>pc</v>
      </c>
      <c r="D423">
        <v>7</v>
      </c>
      <c r="E423">
        <v>11083.84</v>
      </c>
      <c r="F423">
        <v>77586.88</v>
      </c>
      <c r="G423">
        <v>0.0017998808815105059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2P, 230V, Nema3R</v>
      </c>
      <c r="C424" t="str">
        <v>pc</v>
      </c>
      <c r="D424">
        <v>16</v>
      </c>
      <c r="E424">
        <v>9429.220000000001</v>
      </c>
      <c r="F424">
        <v>150867.52000000002</v>
      </c>
      <c r="G424">
        <v>0.003499864473077199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30AT, 2P, 230V, Nema3R</v>
      </c>
      <c r="C425" t="str">
        <v>pc</v>
      </c>
      <c r="D425">
        <v>23</v>
      </c>
      <c r="E425">
        <v>9429.22</v>
      </c>
      <c r="F425">
        <v>216872.06</v>
      </c>
      <c r="G425">
        <v>0.005031055180048472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Roughing-ins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40mm dia. IMC</v>
      </c>
      <c r="C427" t="str">
        <v>length/s</v>
      </c>
      <c r="D427">
        <v>49</v>
      </c>
      <c r="E427">
        <v>2672.9</v>
      </c>
      <c r="F427">
        <v>130972.1</v>
      </c>
      <c r="G427">
        <v>0.00303832527872344</v>
      </c>
      <c r="H427" t="str">
        <v/>
      </c>
      <c r="I427" t="str">
        <v>length/s</v>
      </c>
      <c r="J427">
        <v>0</v>
      </c>
      <c r="K427">
        <v>0</v>
      </c>
      <c r="L427"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25mm dia. IMC</v>
      </c>
      <c r="C428" t="str">
        <v>length/s</v>
      </c>
      <c r="D428">
        <v>1003</v>
      </c>
      <c r="E428">
        <v>1753.43</v>
      </c>
      <c r="F428">
        <v>1758690.29</v>
      </c>
      <c r="G428">
        <v>0.040798560651867516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Boxes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/>
      </c>
      <c r="B430" t="str">
        <v>Junction boxes with cover</v>
      </c>
      <c r="C430" t="str">
        <v>pc/s</v>
      </c>
      <c r="D430">
        <v>195</v>
      </c>
      <c r="E430">
        <v>125.85</v>
      </c>
      <c r="F430">
        <v>24540.75</v>
      </c>
      <c r="G430">
        <v>0.0005693027834464916</v>
      </c>
      <c r="H430" t="str">
        <v/>
      </c>
      <c r="I430" t="str">
        <v>pc/s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Wires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50mm² THHN</v>
      </c>
      <c r="C432" t="str">
        <v>Lm/s</v>
      </c>
      <c r="D432">
        <v>429</v>
      </c>
      <c r="E432">
        <v>1395.9000000000003</v>
      </c>
      <c r="F432">
        <v>598841.1000000001</v>
      </c>
      <c r="G432">
        <v>0.01389207359482326</v>
      </c>
      <c r="H432" t="str">
        <v/>
      </c>
      <c r="I432" t="str">
        <v>Lm/s</v>
      </c>
      <c r="J432">
        <v>0</v>
      </c>
      <c r="K432">
        <v>0</v>
      </c>
      <c r="L432"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5.5mm² THHN</v>
      </c>
      <c r="C433" t="str">
        <v>Lm/s</v>
      </c>
      <c r="D433">
        <v>6798</v>
      </c>
      <c r="E433">
        <v>144.13</v>
      </c>
      <c r="F433">
        <v>979795.74</v>
      </c>
      <c r="G433">
        <v>0.022729559691167345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for ground: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14mm² THHN</v>
      </c>
      <c r="C435" t="str">
        <v>Lm/s</v>
      </c>
      <c r="D435">
        <v>143</v>
      </c>
      <c r="E435">
        <v>358.86999999999995</v>
      </c>
      <c r="F435">
        <v>51318.40999999999</v>
      </c>
      <c r="G435">
        <v>0.0011904979943582925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5.5mm² THHN</v>
      </c>
      <c r="C436" t="str">
        <v>Lm/s</v>
      </c>
      <c r="D436">
        <v>3185</v>
      </c>
      <c r="E436">
        <v>144.13000000000002</v>
      </c>
      <c r="F436">
        <v>459054.0500000001</v>
      </c>
      <c r="G436">
        <v>0.010649256783814065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>V.</v>
      </c>
      <c r="B437" t="str">
        <v>Chipping &amp; Restoration Works (Rough only)</v>
      </c>
      <c r="C437" t="str">
        <v>lot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tr">
        <v>lot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VI.</v>
      </c>
      <c r="B438" t="str">
        <v>Hangers &amp; Supports</v>
      </c>
      <c r="C438" t="str">
        <v>lot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VII.</v>
      </c>
      <c r="B439" t="str">
        <v>Miscelleneuos</v>
      </c>
      <c r="C439" t="str">
        <v>lot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VIII.</v>
      </c>
      <c r="B440" t="str">
        <v>Testing &amp; Commissioning</v>
      </c>
      <c r="C440" t="str">
        <v>lot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TOTAL PROJECT COST</v>
      </c>
      <c r="C441" t="str">
        <v/>
      </c>
      <c r="D441" t="str">
        <v/>
      </c>
      <c r="E441" t="str">
        <v/>
      </c>
      <c r="F441">
        <v>43106674.890000015</v>
      </c>
      <c r="G441">
        <v>1</v>
      </c>
      <c r="H441" t="str">
        <v/>
      </c>
      <c r="I441" t="str">
        <v/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IV.B</v>
      </c>
      <c r="B442" t="str">
        <v>CONSUMABLES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Vibration Isolator</v>
      </c>
      <c r="C443" t="str">
        <v>pcs</v>
      </c>
      <c r="D443">
        <v>20</v>
      </c>
      <c r="E443">
        <v>1389.91</v>
      </c>
      <c r="F443">
        <v>27798.2</v>
      </c>
      <c r="G443">
        <v>0.0006448699666800023</v>
      </c>
      <c r="H443" t="str">
        <v/>
      </c>
      <c r="I443" t="str">
        <v>pcs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Angle Bar, 2x2x 1/4 (6 meters)</v>
      </c>
      <c r="C444" t="str">
        <v>length/s</v>
      </c>
      <c r="D444">
        <v>7</v>
      </c>
      <c r="E444">
        <v>2523.2200000000003</v>
      </c>
      <c r="F444">
        <v>17662.54</v>
      </c>
      <c r="G444">
        <v>0.00040974025589010106</v>
      </c>
      <c r="H444" t="str">
        <v/>
      </c>
      <c r="I444" t="str">
        <v>length/s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Rugby</v>
      </c>
      <c r="C445" t="str">
        <v>bottle</v>
      </c>
      <c r="D445">
        <v>24</v>
      </c>
      <c r="E445">
        <v>277.99000000000007</v>
      </c>
      <c r="F445">
        <v>6671.760000000002</v>
      </c>
      <c r="G445">
        <v>0.00015477324606978052</v>
      </c>
      <c r="H445" t="str">
        <v/>
      </c>
      <c r="I445" t="str">
        <v>bottle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White Tape</v>
      </c>
      <c r="C446" t="str">
        <v>rolls</v>
      </c>
      <c r="D446">
        <v>47</v>
      </c>
      <c r="E446">
        <v>374.2199999999999</v>
      </c>
      <c r="F446">
        <v>17588.339999999997</v>
      </c>
      <c r="G446">
        <v>0.00040801894474306065</v>
      </c>
      <c r="H446" t="str">
        <v/>
      </c>
      <c r="I446" t="str">
        <v>rolls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Threaded rod 3/8 (6 meters)</v>
      </c>
      <c r="C447" t="str">
        <v>length/s</v>
      </c>
      <c r="D447">
        <v>104</v>
      </c>
      <c r="E447">
        <v>171.07</v>
      </c>
      <c r="F447">
        <v>17791.28</v>
      </c>
      <c r="G447">
        <v>0.0004127268003250063</v>
      </c>
      <c r="H447" t="str">
        <v/>
      </c>
      <c r="I447" t="str">
        <v>length/s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Nuts and washer 3/8</v>
      </c>
      <c r="C448" t="str">
        <v>pcs</v>
      </c>
      <c r="D448">
        <v>32</v>
      </c>
      <c r="E448">
        <v>21.39</v>
      </c>
      <c r="F448">
        <v>684.48</v>
      </c>
      <c r="G448">
        <v>0.000015878747357495374</v>
      </c>
      <c r="H448" t="str">
        <v/>
      </c>
      <c r="I448" t="str">
        <v>pcs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Grip Anchor 3/8</v>
      </c>
      <c r="C449" t="str">
        <v>pcs</v>
      </c>
      <c r="D449">
        <v>32</v>
      </c>
      <c r="E449">
        <v>10.699999999999998</v>
      </c>
      <c r="F449">
        <v>342.3999999999999</v>
      </c>
      <c r="G449">
        <v>0.000007943085400897639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Paint (Red Oxide)</v>
      </c>
      <c r="C450" t="str">
        <v>gallon</v>
      </c>
      <c r="D450">
        <v>1</v>
      </c>
      <c r="E450">
        <v>3432</v>
      </c>
      <c r="F450">
        <v>3432</v>
      </c>
      <c r="G450">
        <v>0.000079616440116474</v>
      </c>
      <c r="H450" t="str">
        <v/>
      </c>
      <c r="I450" t="str">
        <v>gallon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Loop Hangers</v>
      </c>
      <c r="C451" t="str">
        <v>pcs</v>
      </c>
      <c r="D451">
        <v>393</v>
      </c>
      <c r="E451">
        <v>42.78</v>
      </c>
      <c r="F451">
        <v>16812.54</v>
      </c>
      <c r="G451">
        <v>0.0003900217319684802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Freon</v>
      </c>
      <c r="C452" t="str">
        <v>tank</v>
      </c>
      <c r="D452">
        <v>8</v>
      </c>
      <c r="E452">
        <v>14497.769999999999</v>
      </c>
      <c r="F452">
        <v>115982.15999999999</v>
      </c>
      <c r="G452">
        <v>0.002690584701695602</v>
      </c>
      <c r="H452" t="str">
        <v/>
      </c>
      <c r="I452" t="str">
        <v>tank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Nitrogen</v>
      </c>
      <c r="C453" t="str">
        <v>tank</v>
      </c>
      <c r="D453">
        <v>4</v>
      </c>
      <c r="E453">
        <v>18175.66</v>
      </c>
      <c r="F453">
        <v>72702.64</v>
      </c>
      <c r="G453">
        <v>0.0016865749952999906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Mapp Gas</v>
      </c>
      <c r="C454" t="str">
        <v>tank</v>
      </c>
      <c r="D454">
        <v>12</v>
      </c>
      <c r="E454">
        <v>812.5699999999998</v>
      </c>
      <c r="F454">
        <v>9750.839999999998</v>
      </c>
      <c r="G454">
        <v>0.00022620255505399745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Silver Rod</v>
      </c>
      <c r="C455" t="str">
        <v>pcs</v>
      </c>
      <c r="D455">
        <v>158</v>
      </c>
      <c r="E455">
        <v>53.47</v>
      </c>
      <c r="F455">
        <v>8448.26</v>
      </c>
      <c r="G455">
        <v>0.0001959849610659682</v>
      </c>
      <c r="H455" t="str">
        <v/>
      </c>
      <c r="I455" t="str">
        <v>pcs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Paint Brush</v>
      </c>
      <c r="C456" t="str">
        <v>pcs</v>
      </c>
      <c r="D456">
        <v>1</v>
      </c>
      <c r="E456">
        <v>213.84</v>
      </c>
      <c r="F456">
        <v>213.84</v>
      </c>
      <c r="G456">
        <v>0.000004960716653411073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>IV.C</v>
      </c>
      <c r="B457" t="str">
        <v>CHIPPING &amp; RESTORATION (ROUGH-ONLY)</v>
      </c>
      <c r="C457" t="str">
        <v>lot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tr">
        <v>lot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IV.D</v>
      </c>
      <c r="B458" t="str">
        <v>MISCELLANEOUS</v>
      </c>
      <c r="C458" t="str">
        <v>lot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IV.E</v>
      </c>
      <c r="B459" t="str">
        <v>TESTING &amp; COMMISSIONING</v>
      </c>
      <c r="C459" t="str">
        <v>lot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</v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/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I.</v>
      </c>
      <c r="B462" t="str">
        <v>Service Entrance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>III.</v>
      </c>
      <c r="B475" t="str">
        <v>Panel Board &amp; Pullbox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/>
      </c>
      <c r="B476" t="str">
        <v>DP-Main</v>
      </c>
      <c r="C476" t="str">
        <v>Assy</v>
      </c>
      <c r="D476">
        <v>1</v>
      </c>
      <c r="E476">
        <v>772225.4500000001</v>
      </c>
      <c r="F476">
        <v>772225.4500000001</v>
      </c>
      <c r="G476">
        <v>0.01791428942201113</v>
      </c>
      <c r="H476" t="str">
        <v/>
      </c>
      <c r="I476" t="str">
        <v>Assy</v>
      </c>
      <c r="J476">
        <v>0</v>
      </c>
      <c r="K476">
        <v>0</v>
      </c>
      <c r="L476"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/>
      </c>
      <c r="B477" t="str">
        <v>Main CB: 1200AT, 3P, 230V, 60Hz, Bolt-on Nema12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Branches: 1 - 700AT, 3P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 xml:space="preserve">4 - 125AT, 3P 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PP-System A</v>
      </c>
      <c r="C480" t="str">
        <v>Assy</v>
      </c>
      <c r="D480">
        <v>1</v>
      </c>
      <c r="E480">
        <v>125827.10999999999</v>
      </c>
      <c r="F480">
        <v>125827.10999999999</v>
      </c>
      <c r="G480">
        <v>0.002918970445321674</v>
      </c>
      <c r="H480" t="str">
        <v/>
      </c>
      <c r="I480" t="str">
        <v>Assy</v>
      </c>
      <c r="J480">
        <v>0</v>
      </c>
      <c r="K480">
        <v>0</v>
      </c>
      <c r="L480">
        <v>0</v>
      </c>
      <c r="M480">
        <f>K480+L480</f>
        <v>0</v>
      </c>
      <c r="N480">
        <f>M480/43106674.89</f>
        <v>0</v>
      </c>
      <c r="O480" t="str">
        <v>Ongoing</v>
      </c>
    </row>
    <row r="481">
      <c r="A481" t="str">
        <v/>
      </c>
      <c r="B481" t="str">
        <v>Main CB: 125AT, 3P, 230V, 60Hz, Bolt-on Nema12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Branches: 2 - 40AT, 3P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 xml:space="preserve">3 - 40AT, 2P 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9 - 30AT,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>PP-System B</v>
      </c>
      <c r="C485" t="str">
        <v>Assy</v>
      </c>
      <c r="D485">
        <v>1</v>
      </c>
      <c r="E485">
        <v>135268.13</v>
      </c>
      <c r="F485">
        <v>135268.13</v>
      </c>
      <c r="G485">
        <v>0.0031379857143975587</v>
      </c>
      <c r="H485" t="str">
        <v/>
      </c>
      <c r="I485" t="str">
        <v>Assy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Ongoing</v>
      </c>
    </row>
    <row r="486">
      <c r="A486" t="str">
        <v/>
      </c>
      <c r="B486" t="str">
        <v>Main CB: 125AT, 3P, 230V, 60Hz, Bolt-on Nema12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Branches: 1 - 40AT, 3P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 xml:space="preserve">2 - 40AT, 2P 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11 - 30AT,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PP-System C</v>
      </c>
      <c r="C490" t="str">
        <v>Assy</v>
      </c>
      <c r="D490">
        <v>1</v>
      </c>
      <c r="E490">
        <v>120190.81999999999</v>
      </c>
      <c r="F490">
        <v>120190.81999999999</v>
      </c>
      <c r="G490">
        <v>0.0027882183050932123</v>
      </c>
      <c r="H490" t="str">
        <v/>
      </c>
      <c r="I490" t="str">
        <v>Assy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Ongoing</v>
      </c>
    </row>
    <row r="491">
      <c r="A491" t="str">
        <v/>
      </c>
      <c r="B491" t="str">
        <v>Main CB: 125AT, 3P, 230V, 60Hz, Bolt-on Nema12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Branches: 2 - 40AT, 3P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 xml:space="preserve">7 - 40AT, 2P 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5 - 30AT,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>PP-System D</v>
      </c>
      <c r="C495" t="str">
        <v>Assy</v>
      </c>
      <c r="D495">
        <v>1</v>
      </c>
      <c r="E495">
        <v>131472.25</v>
      </c>
      <c r="F495">
        <v>131472.25</v>
      </c>
      <c r="G495">
        <v>0.003049927890181556</v>
      </c>
      <c r="H495" t="str">
        <v/>
      </c>
      <c r="I495" t="str">
        <v>Assy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Ongoing</v>
      </c>
    </row>
    <row r="496">
      <c r="A496" t="str">
        <v/>
      </c>
      <c r="B496" t="str">
        <v>Main CB: 125AT, 3P, 230V, 60Hz, Bolt-on Nema12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Branches: 3 - 40AT, 3P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4 - 40AT,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8 - 30AT,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PP-Outdoor</v>
      </c>
      <c r="C500" t="str">
        <v>Assy</v>
      </c>
      <c r="D500">
        <v>1</v>
      </c>
      <c r="E500">
        <v>473575.57</v>
      </c>
      <c r="F500">
        <v>473575.57</v>
      </c>
      <c r="G500">
        <v>0.010986130830282648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700AT,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4 - 150AT,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Transformer</v>
      </c>
      <c r="C503" t="str">
        <v>Assy</v>
      </c>
      <c r="D503">
        <v>1</v>
      </c>
      <c r="E503">
        <v>932598.8200000001</v>
      </c>
      <c r="F503">
        <v>932598.8200000001</v>
      </c>
      <c r="G503">
        <v>0.021634673107582846</v>
      </c>
      <c r="H503" t="str">
        <v/>
      </c>
      <c r="I503" t="str">
        <v>Assy</v>
      </c>
      <c r="J503">
        <v>0</v>
      </c>
      <c r="K503">
        <v>0</v>
      </c>
      <c r="L503">
        <v>0</v>
      </c>
      <c r="M503">
        <f>K503+L503</f>
        <v>0</v>
      </c>
      <c r="N503">
        <f>M503/43106674.89</f>
        <v>0</v>
      </c>
      <c r="O503" t="str">
        <v>Ongoing</v>
      </c>
    </row>
    <row r="504" xml:space="preserve">
      <c r="A504" t="str">
        <v/>
      </c>
      <c r="B504" t="str" xml:space="preserve">
        <v xml:space="preserve">500KVA Step Down Dry Type Transformer, 480V to 230V, 3P_x000d_
Floor mounted, Indoor Type, 60Hz, Nema1 "TRANSPHIL"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ECB 1250AT Nema 12</v>
      </c>
      <c r="C505" t="str">
        <v>pc</v>
      </c>
      <c r="D505">
        <v>1</v>
      </c>
      <c r="E505">
        <v>302047.59</v>
      </c>
      <c r="F505">
        <v>302047.59</v>
      </c>
      <c r="G505">
        <v>0.007006979563391694</v>
      </c>
      <c r="H505" t="str">
        <v/>
      </c>
      <c r="I505" t="str">
        <v>pc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>
      <c r="A506" t="str">
        <v/>
      </c>
      <c r="B506" t="str">
        <v>Pullbox (350mm x 350mm x 200mm)</v>
      </c>
      <c r="C506" t="str">
        <v>pc</v>
      </c>
      <c r="D506">
        <v>5</v>
      </c>
      <c r="E506">
        <v>5538.24</v>
      </c>
      <c r="F506">
        <v>27691.199999999997</v>
      </c>
      <c r="G506">
        <v>0.0006423877524922217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Wire Gutter</v>
      </c>
      <c r="C507" t="str">
        <v>lot</v>
      </c>
      <c r="D507">
        <v>1</v>
      </c>
      <c r="E507">
        <v>32074.68</v>
      </c>
      <c r="F507">
        <v>32074.68</v>
      </c>
      <c r="G507">
        <v>0.0007440768763039237</v>
      </c>
      <c r="H507" t="str">
        <v/>
      </c>
      <c r="I507" t="str">
        <v>lot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>IV.</v>
      </c>
      <c r="B508" t="str">
        <v>Mechanical System Power Supply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>ECB's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 150AT, 3P, 230V, Nema3R</v>
      </c>
      <c r="C510" t="str">
        <v>pc</v>
      </c>
      <c r="D510">
        <v>4</v>
      </c>
      <c r="E510">
        <v>29019.109999999993</v>
      </c>
      <c r="F510">
        <v>116076.43999999997</v>
      </c>
      <c r="G510">
        <v>0.002692771833972461</v>
      </c>
      <c r="H510">
        <v>4</v>
      </c>
      <c r="I510" t="str">
        <v>pc</v>
      </c>
      <c r="J510">
        <v>116076.43999999997</v>
      </c>
      <c r="K510">
        <v>0</v>
      </c>
      <c r="L510">
        <v>116076.43999999997</v>
      </c>
      <c r="M510">
        <v>116076.43999999997</v>
      </c>
      <c r="N510">
        <v>0.002692771833972461</v>
      </c>
      <c r="O510" t="str">
        <v>Completed</v>
      </c>
    </row>
    <row r="511">
      <c r="A511" t="str">
        <v/>
      </c>
      <c r="B511" t="str">
        <v>ECB 40AT, 3P, 230V, Nema3R</v>
      </c>
      <c r="C511" t="str">
        <v>pc</v>
      </c>
      <c r="D511">
        <v>7</v>
      </c>
      <c r="E511">
        <v>11083.84</v>
      </c>
      <c r="F511">
        <v>77586.88</v>
      </c>
      <c r="G511">
        <v>0.0017998808815105059</v>
      </c>
      <c r="H511">
        <v>7</v>
      </c>
      <c r="I511" t="str">
        <v>pc</v>
      </c>
      <c r="J511">
        <v>77586.88</v>
      </c>
      <c r="K511">
        <v>0</v>
      </c>
      <c r="L511">
        <v>77586.88</v>
      </c>
      <c r="M511">
        <v>77586.88</v>
      </c>
      <c r="N511">
        <v>0.0017998808815105059</v>
      </c>
      <c r="O511" t="str">
        <v>Completed</v>
      </c>
    </row>
    <row r="512">
      <c r="A512" t="str">
        <v/>
      </c>
      <c r="B512" t="str">
        <v>ECB 40AT, 2P, 230V, Nema3R</v>
      </c>
      <c r="C512" t="str">
        <v>pc</v>
      </c>
      <c r="D512">
        <v>16</v>
      </c>
      <c r="E512">
        <v>9429.220000000001</v>
      </c>
      <c r="F512">
        <v>150867.52000000002</v>
      </c>
      <c r="G512">
        <v>0.003499864473077199</v>
      </c>
      <c r="H512">
        <v>16</v>
      </c>
      <c r="I512" t="str">
        <v>pc</v>
      </c>
      <c r="J512">
        <v>150867.52000000002</v>
      </c>
      <c r="K512">
        <v>0</v>
      </c>
      <c r="L512">
        <v>150867.52000000002</v>
      </c>
      <c r="M512">
        <v>150867.52000000002</v>
      </c>
      <c r="N512">
        <v>0.003499864473077199</v>
      </c>
      <c r="O512" t="str">
        <v>Completed</v>
      </c>
    </row>
    <row r="513">
      <c r="A513" t="str">
        <v/>
      </c>
      <c r="B513" t="str">
        <v>ECB 30AT, 2P, 230V, Nema3R</v>
      </c>
      <c r="C513" t="str">
        <v>pc</v>
      </c>
      <c r="D513">
        <v>23</v>
      </c>
      <c r="E513">
        <v>9429.22</v>
      </c>
      <c r="F513">
        <v>216872.06</v>
      </c>
      <c r="G513">
        <v>0.005031055180048472</v>
      </c>
      <c r="H513">
        <v>23</v>
      </c>
      <c r="I513" t="str">
        <v>pc</v>
      </c>
      <c r="J513">
        <v>216872.06</v>
      </c>
      <c r="K513">
        <v>0</v>
      </c>
      <c r="L513">
        <v>216872.06</v>
      </c>
      <c r="M513">
        <v>216872.06</v>
      </c>
      <c r="N513">
        <v>0.005031055180048472</v>
      </c>
      <c r="O513" t="str">
        <v>Completed</v>
      </c>
    </row>
    <row r="514">
      <c r="A514" t="str">
        <v/>
      </c>
      <c r="B514" t="str">
        <v>Roughing-ins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40mm dia. IMC</v>
      </c>
      <c r="C515" t="str">
        <v>length/s</v>
      </c>
      <c r="D515">
        <v>49</v>
      </c>
      <c r="E515">
        <v>2672.9</v>
      </c>
      <c r="F515">
        <v>130972.1</v>
      </c>
      <c r="G515">
        <v>0.00303832527872344</v>
      </c>
      <c r="H515" t="str">
        <v/>
      </c>
      <c r="I515" t="str">
        <v>length/s</v>
      </c>
      <c r="J515">
        <v>0</v>
      </c>
      <c r="K515">
        <v>0</v>
      </c>
      <c r="L515"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25mm dia. IMC</v>
      </c>
      <c r="C516" t="str">
        <v>length/s</v>
      </c>
      <c r="D516">
        <v>1003</v>
      </c>
      <c r="E516">
        <v>1753.43</v>
      </c>
      <c r="F516">
        <v>1758690.29</v>
      </c>
      <c r="G516">
        <v>0.040798560651867516</v>
      </c>
      <c r="H516">
        <v>1003</v>
      </c>
      <c r="I516" t="str">
        <v>length/s</v>
      </c>
      <c r="J516">
        <v>1758690.29</v>
      </c>
      <c r="K516">
        <v>0</v>
      </c>
      <c r="L516">
        <v>1758690.29</v>
      </c>
      <c r="M516">
        <v>1758690.29</v>
      </c>
      <c r="N516">
        <v>0.040798560651867516</v>
      </c>
      <c r="O516" t="str">
        <v>Completed</v>
      </c>
    </row>
    <row r="517">
      <c r="A517" t="str">
        <v/>
      </c>
      <c r="B517" t="str">
        <v>Boxes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/>
      </c>
      <c r="B518" t="str">
        <v>Junction boxes with cover</v>
      </c>
      <c r="C518" t="str">
        <v>pc/s</v>
      </c>
      <c r="D518">
        <v>195</v>
      </c>
      <c r="E518">
        <v>125.85</v>
      </c>
      <c r="F518">
        <v>24540.75</v>
      </c>
      <c r="G518">
        <v>0.0005693027834464916</v>
      </c>
      <c r="H518" t="str">
        <v/>
      </c>
      <c r="I518" t="str">
        <v>pc/s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Wires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50mm² THHN</v>
      </c>
      <c r="C520" t="str">
        <v>Lm/s</v>
      </c>
      <c r="D520">
        <v>429</v>
      </c>
      <c r="E520">
        <v>1395.9000000000003</v>
      </c>
      <c r="F520">
        <v>598841.1000000001</v>
      </c>
      <c r="G520">
        <v>0.01389207359482326</v>
      </c>
      <c r="H520" t="str">
        <v/>
      </c>
      <c r="I520" t="str">
        <v>Lm/s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5.5mm² THHN</v>
      </c>
      <c r="C521" t="str">
        <v>Lm/s</v>
      </c>
      <c r="D521">
        <v>6798</v>
      </c>
      <c r="E521">
        <v>144.13</v>
      </c>
      <c r="F521">
        <v>979795.74</v>
      </c>
      <c r="G521">
        <v>0.022729559691167345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for ground: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>
        <f>K522+L522</f>
        <v>0</v>
      </c>
      <c r="N522">
        <f>M522/43106674.89</f>
        <v>0</v>
      </c>
      <c r="O522" t="str">
        <v/>
      </c>
    </row>
    <row r="523">
      <c r="A523" t="str">
        <v/>
      </c>
      <c r="B523" t="str">
        <v>14mm² THHN</v>
      </c>
      <c r="C523" t="str">
        <v>Lm/s</v>
      </c>
      <c r="D523">
        <v>143</v>
      </c>
      <c r="E523">
        <v>358.86999999999995</v>
      </c>
      <c r="F523">
        <v>51318.40999999999</v>
      </c>
      <c r="G523">
        <v>0.0011904979943582925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5.5mm² THHN</v>
      </c>
      <c r="C524" t="str">
        <v>Lm/s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tr">
        <v>Lm/s</v>
      </c>
      <c r="J524">
        <v>14413.000000000002</v>
      </c>
      <c r="K524">
        <v>0</v>
      </c>
      <c r="L524">
        <f>J524-K524</f>
        <v>14413.000000000002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>V.</v>
      </c>
      <c r="B525" t="str">
        <v>Chipping &amp; Restoration Works (Rough only)</v>
      </c>
      <c r="C525" t="str">
        <v>lot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tr">
        <v>lot</v>
      </c>
      <c r="J525">
        <v>0</v>
      </c>
      <c r="K525">
        <v>0</v>
      </c>
      <c r="L525">
        <v>0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VI.</v>
      </c>
      <c r="B526" t="str">
        <v>Hangers &amp; Supports</v>
      </c>
      <c r="C526" t="str">
        <v>lot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VII.</v>
      </c>
      <c r="B527" t="str">
        <v>Miscelleneuos</v>
      </c>
      <c r="C527" t="str">
        <v>lot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VIII.</v>
      </c>
      <c r="B528" t="str">
        <v>Testing &amp; Commissioning</v>
      </c>
      <c r="C528" t="str">
        <v>lot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ECB 40AT, 2P, 230V, Nema3R</v>
      </c>
      <c r="C529" t="str">
        <v>pc</v>
      </c>
      <c r="D529">
        <v>16</v>
      </c>
      <c r="E529">
        <v>9429.220000000001</v>
      </c>
      <c r="F529">
        <v>150867.52000000002</v>
      </c>
      <c r="G529">
        <v>0.003499864473077199</v>
      </c>
      <c r="H529" t="str">
        <v/>
      </c>
      <c r="I529" t="str">
        <v>pc</v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ECB 30AT, 2P, 230V, Nema3R</v>
      </c>
      <c r="C530" t="str">
        <v>pc</v>
      </c>
      <c r="D530">
        <v>23</v>
      </c>
      <c r="E530">
        <v>9429.22</v>
      </c>
      <c r="F530">
        <v>216872.06</v>
      </c>
      <c r="G530">
        <v>0.005031055180048472</v>
      </c>
      <c r="H530" t="str">
        <v/>
      </c>
      <c r="I530" t="str">
        <v>pc</v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Roughing-ins</v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>
        <f>K531+L531</f>
        <v>0</v>
      </c>
      <c r="N531">
        <f>M531/43106674.89</f>
        <v>0</v>
      </c>
      <c r="O531" t="str">
        <v/>
      </c>
    </row>
    <row r="532">
      <c r="A532" t="str">
        <v/>
      </c>
      <c r="B532" t="str">
        <v>40mm dia. IMC</v>
      </c>
      <c r="C532" t="str">
        <v>length/s</v>
      </c>
      <c r="D532">
        <v>49</v>
      </c>
      <c r="E532">
        <v>2672.9</v>
      </c>
      <c r="F532">
        <v>130972.1</v>
      </c>
      <c r="G532">
        <v>0.00303832527872344</v>
      </c>
      <c r="H532" t="str">
        <v/>
      </c>
      <c r="I532" t="str">
        <v>length/s</v>
      </c>
      <c r="J532">
        <v>0</v>
      </c>
      <c r="K532">
        <v>0</v>
      </c>
      <c r="L532">
        <v>0</v>
      </c>
      <c r="M532">
        <f>K532+L532</f>
        <v>0</v>
      </c>
      <c r="N532">
        <f>M532/43106674.89</f>
        <v>0</v>
      </c>
      <c r="O532" t="str">
        <v>Ongoing</v>
      </c>
    </row>
    <row r="533">
      <c r="A533" t="str">
        <v/>
      </c>
      <c r="B533" t="str">
        <v>25mm dia. IMC</v>
      </c>
      <c r="C533" t="str">
        <v>length/s</v>
      </c>
      <c r="D533">
        <v>1003</v>
      </c>
      <c r="E533">
        <v>1753.43</v>
      </c>
      <c r="F533">
        <v>1758690.29</v>
      </c>
      <c r="G533">
        <v>0.040798560651867516</v>
      </c>
      <c r="H533" t="str">
        <v/>
      </c>
      <c r="I533" t="str">
        <v>length/s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Boxes</v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>
        <f>K534+L534</f>
        <v>0</v>
      </c>
      <c r="N534">
        <f>M534/43106674.89</f>
        <v>0</v>
      </c>
      <c r="O534" t="str">
        <v/>
      </c>
    </row>
    <row r="535">
      <c r="A535" t="str">
        <v/>
      </c>
      <c r="B535" t="str">
        <v>Junction boxes with cover</v>
      </c>
      <c r="C535" t="str">
        <v>pc/s</v>
      </c>
      <c r="D535">
        <v>195</v>
      </c>
      <c r="E535">
        <v>125.85</v>
      </c>
      <c r="F535">
        <v>24540.75</v>
      </c>
      <c r="G535">
        <v>0.0005693027834464916</v>
      </c>
      <c r="H535" t="str">
        <v/>
      </c>
      <c r="I535" t="str">
        <v>pc/s</v>
      </c>
      <c r="J535">
        <v>0</v>
      </c>
      <c r="K535">
        <v>0</v>
      </c>
      <c r="L535">
        <v>0</v>
      </c>
      <c r="M535">
        <f>K535+L535</f>
        <v>0</v>
      </c>
      <c r="N535">
        <f>M535/43106674.89</f>
        <v>0</v>
      </c>
      <c r="O535" t="str">
        <v>Ongoing</v>
      </c>
    </row>
    <row r="536">
      <c r="A536" t="str">
        <v/>
      </c>
      <c r="B536" t="str">
        <v>Wires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50mm² THHN</v>
      </c>
      <c r="C537" t="str">
        <v>Lm/s</v>
      </c>
      <c r="D537">
        <v>429</v>
      </c>
      <c r="E537">
        <v>1395.9000000000003</v>
      </c>
      <c r="F537">
        <v>598841.1000000001</v>
      </c>
      <c r="G537">
        <v>0.01389207359482326</v>
      </c>
      <c r="H537" t="str">
        <v/>
      </c>
      <c r="I537" t="str">
        <v>Lm/s</v>
      </c>
      <c r="J537">
        <v>0</v>
      </c>
      <c r="K537">
        <v>0</v>
      </c>
      <c r="L537">
        <v>0</v>
      </c>
      <c r="M537">
        <f>K537+L537</f>
        <v>0</v>
      </c>
      <c r="N537">
        <f>M537/43106674.89</f>
        <v>0</v>
      </c>
      <c r="O537" t="str">
        <v>Ongoing</v>
      </c>
    </row>
    <row r="538">
      <c r="A538" t="str">
        <v/>
      </c>
      <c r="B538" t="str">
        <v>5.5mm² THHN</v>
      </c>
      <c r="C538" t="str">
        <v>Lm/s</v>
      </c>
      <c r="D538">
        <v>6798</v>
      </c>
      <c r="E538">
        <v>144.13</v>
      </c>
      <c r="F538">
        <v>979795.74</v>
      </c>
      <c r="G538">
        <v>0.022729559691167345</v>
      </c>
      <c r="H538" t="str">
        <v/>
      </c>
      <c r="I538" t="str">
        <v>Lm/s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/>
      </c>
      <c r="B539" t="str">
        <v>for ground: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>
        <f>K539+L539</f>
        <v>0</v>
      </c>
      <c r="N539">
        <f>M539/43106674.89</f>
        <v>0</v>
      </c>
      <c r="O539" t="str">
        <v/>
      </c>
    </row>
    <row r="540">
      <c r="A540" t="str">
        <v/>
      </c>
      <c r="B540" t="str">
        <v>14mm² THHN</v>
      </c>
      <c r="C540" t="str">
        <v>Lm/s</v>
      </c>
      <c r="D540">
        <v>143</v>
      </c>
      <c r="E540">
        <v>358.86999999999995</v>
      </c>
      <c r="F540">
        <v>51318.40999999999</v>
      </c>
      <c r="G540">
        <v>0.0011904979943582925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f>K540+L540</f>
        <v>0</v>
      </c>
      <c r="N540">
        <f>M540/43106674.89</f>
        <v>0</v>
      </c>
      <c r="O540" t="str">
        <v>Ongoing</v>
      </c>
    </row>
    <row r="541">
      <c r="A541" t="str">
        <v/>
      </c>
      <c r="B541" t="str">
        <v>5.5mm² THHN</v>
      </c>
      <c r="C541" t="str">
        <v>Lm/s</v>
      </c>
      <c r="D541">
        <v>3185</v>
      </c>
      <c r="E541">
        <v>144.13000000000002</v>
      </c>
      <c r="F541">
        <v>459054.0500000001</v>
      </c>
      <c r="G541">
        <v>0.010649256783814065</v>
      </c>
      <c r="H541">
        <v>1000</v>
      </c>
      <c r="I541" t="str">
        <v>Lm/s</v>
      </c>
      <c r="J541">
        <v>144130.00000000003</v>
      </c>
      <c r="K541">
        <v>0</v>
      </c>
      <c r="L541">
        <v>144130.00000000003</v>
      </c>
      <c r="M541">
        <v>144130.00000000003</v>
      </c>
      <c r="N541">
        <v>0.0033435657092037883</v>
      </c>
      <c r="O541" t="str">
        <v>Ongoing</v>
      </c>
    </row>
    <row r="542">
      <c r="A542" t="str">
        <v>V.</v>
      </c>
      <c r="B542" t="str">
        <v>Chipping &amp; Restoration Works (Rough only)</v>
      </c>
      <c r="C542" t="str">
        <v>lot</v>
      </c>
      <c r="D542">
        <v>1</v>
      </c>
      <c r="E542">
        <v>145441.09</v>
      </c>
      <c r="F542">
        <v>145441.09</v>
      </c>
      <c r="G542">
        <v>0.0033739807204136675</v>
      </c>
      <c r="H542">
        <v>1</v>
      </c>
      <c r="I542" t="str">
        <v>lot</v>
      </c>
      <c r="J542">
        <v>145441.09</v>
      </c>
      <c r="K542">
        <v>0</v>
      </c>
      <c r="L542">
        <f>J542-K542</f>
        <v>144130.00000000003</v>
      </c>
      <c r="M542">
        <f>K542+L542</f>
        <v>0</v>
      </c>
      <c r="N542">
        <f>M542/43106674.89</f>
        <v>0</v>
      </c>
      <c r="O542" t="str">
        <v>Completed</v>
      </c>
    </row>
    <row r="543">
      <c r="A543" t="str">
        <v>VI.</v>
      </c>
      <c r="B543" t="str">
        <v>Hangers &amp; Supports</v>
      </c>
      <c r="C543" t="str">
        <v>lot</v>
      </c>
      <c r="D543">
        <v>1</v>
      </c>
      <c r="E543">
        <v>174529.31</v>
      </c>
      <c r="F543">
        <v>174529.31</v>
      </c>
      <c r="G543">
        <v>0.0040487769108929275</v>
      </c>
      <c r="H543">
        <v>1</v>
      </c>
      <c r="I543" t="str">
        <v>lot</v>
      </c>
      <c r="J543">
        <v>174529.31</v>
      </c>
      <c r="K543">
        <v>0</v>
      </c>
      <c r="L543">
        <v>174529.31</v>
      </c>
      <c r="M543">
        <f>K543+L543</f>
        <v>0</v>
      </c>
      <c r="N543">
        <f>M543/43106674.89</f>
        <v>0</v>
      </c>
      <c r="O543" t="str">
        <v>Completed</v>
      </c>
    </row>
    <row r="544">
      <c r="A544" t="str">
        <v>VII.</v>
      </c>
      <c r="B544" t="str">
        <v>Miscelleneuos</v>
      </c>
      <c r="C544" t="str">
        <v>lot</v>
      </c>
      <c r="D544">
        <v>1</v>
      </c>
      <c r="E544">
        <v>87264.66</v>
      </c>
      <c r="F544">
        <v>87264.66</v>
      </c>
      <c r="G544">
        <v>0.002024388571437781</v>
      </c>
      <c r="H544">
        <v>1</v>
      </c>
      <c r="I544" t="str">
        <v>lot</v>
      </c>
      <c r="J544">
        <v>87264.66</v>
      </c>
      <c r="K544">
        <v>0</v>
      </c>
      <c r="L544">
        <v>87264.66</v>
      </c>
      <c r="M544">
        <v>87264.66</v>
      </c>
      <c r="N544">
        <v>0.002024388571437781</v>
      </c>
      <c r="O544" t="str">
        <v>Completed</v>
      </c>
    </row>
    <row r="545">
      <c r="A545" t="str">
        <v>VIII.</v>
      </c>
      <c r="B545" t="str">
        <v>Testing &amp; Commissioning</v>
      </c>
      <c r="C545" t="str">
        <v>lot</v>
      </c>
      <c r="D545">
        <v>1</v>
      </c>
      <c r="E545">
        <v>884818.61</v>
      </c>
      <c r="F545">
        <v>884818.61</v>
      </c>
      <c r="G545">
        <v>0.020526255208918057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>
        <f>K546+L546</f>
        <v>0</v>
      </c>
      <c r="N546">
        <f>M546/43106674.89</f>
        <v>0</v>
      </c>
      <c r="O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>
        <f>K547+L547</f>
        <v>0</v>
      </c>
      <c r="N547">
        <f>M547/43106674.89</f>
        <v>0</v>
      </c>
      <c r="O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>
        <f>K548+L548</f>
        <v>0</v>
      </c>
      <c r="N548">
        <f>M548/43106674.89</f>
        <v>0</v>
      </c>
      <c r="O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