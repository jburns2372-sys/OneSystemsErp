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Accomplishment Report" sheetId="1" r:id="rId1"/>
  </sheets>
  <definedNames>
    <definedName name="_xlnm.Print_Area" localSheetId="0">'Accomplishment Report'!$A1:$O557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a. Guarantee / Warranty Bonds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b. Contractor's All Risk Insurance (CARI)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c. Performance Bond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d. Other Insurances and Bonds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Mobilization and Demobilization</v>
      </c>
      <c r="C12" t="str">
        <v>lot</v>
      </c>
      <c r="D12">
        <v>1</v>
      </c>
      <c r="E12">
        <v>103229</v>
      </c>
      <c r="F12">
        <v>103229</v>
      </c>
      <c r="G12">
        <v>0.002394733536358827</v>
      </c>
      <c r="H12">
        <v>1</v>
      </c>
      <c r="I12" t="str">
        <v>lot</v>
      </c>
      <c r="J12">
        <v>103229</v>
      </c>
      <c r="K12">
        <v>103229</v>
      </c>
      <c r="L12">
        <v>0</v>
      </c>
      <c r="M12">
        <v>103229</v>
      </c>
      <c r="N12">
        <v>0.002394733536358827</v>
      </c>
      <c r="O12" t="str">
        <v>Completed</v>
      </c>
    </row>
    <row r="13">
      <c r="A13" t="str">
        <v/>
      </c>
      <c r="B13" t="str">
        <v>Site Management Work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f>J13-K13</f>
        <v>0</v>
      </c>
      <c r="M13" t="str">
        <v/>
      </c>
      <c r="N13" t="str">
        <v/>
      </c>
      <c r="O13" t="str">
        <v/>
      </c>
    </row>
    <row r="14">
      <c r="A14" t="str">
        <v/>
      </c>
      <c r="B14" t="str">
        <v>a. Project Management</v>
      </c>
      <c r="C14" t="str">
        <v>lot</v>
      </c>
      <c r="D14">
        <v>1</v>
      </c>
      <c r="E14">
        <v>678976</v>
      </c>
      <c r="F14">
        <v>678976</v>
      </c>
      <c r="G14">
        <v>0.01575106411553702</v>
      </c>
      <c r="H14">
        <v>1</v>
      </c>
      <c r="I14" t="str">
        <v>lot</v>
      </c>
      <c r="J14">
        <v>678976</v>
      </c>
      <c r="K14">
        <v>678976</v>
      </c>
      <c r="L14">
        <v>0</v>
      </c>
      <c r="M14">
        <v>678976</v>
      </c>
      <c r="N14">
        <v>0.01575106411553702</v>
      </c>
      <c r="O14" t="str">
        <v>Completed</v>
      </c>
    </row>
    <row r="15" xml:space="preserve">
      <c r="A15" t="str">
        <v/>
      </c>
      <c r="B15" t="str" xml:space="preserve">
        <v xml:space="preserve">b. Admin Support_x000d_
  - Accounting, Procurement, Logistics</v>
      </c>
      <c r="C15" t="str">
        <v>lot</v>
      </c>
      <c r="D15">
        <v>1</v>
      </c>
      <c r="E15">
        <v>279579.99999999994</v>
      </c>
      <c r="F15">
        <v>279579.99999999994</v>
      </c>
      <c r="G15">
        <v>0.006485770491772669</v>
      </c>
      <c r="H15">
        <v>1</v>
      </c>
      <c r="I15" t="str">
        <v>lot</v>
      </c>
      <c r="J15">
        <v>279579.99999999994</v>
      </c>
      <c r="K15">
        <v>0</v>
      </c>
      <c r="L15">
        <f>J15-K15</f>
        <v>0</v>
      </c>
      <c r="M15">
        <v>279579.99999999994</v>
      </c>
      <c r="N15">
        <v>0.006485770491772669</v>
      </c>
      <c r="O15" t="str">
        <v>Completed</v>
      </c>
    </row>
    <row r="16">
      <c r="A16" t="str">
        <v/>
      </c>
      <c r="B16" t="str">
        <v>c.Quality Management</v>
      </c>
      <c r="C16" t="str">
        <v>lot</v>
      </c>
      <c r="D16">
        <v>1</v>
      </c>
      <c r="E16">
        <v>279579.99999999994</v>
      </c>
      <c r="F16">
        <v>279579.99999999994</v>
      </c>
      <c r="G16">
        <v>0.006485770491772669</v>
      </c>
      <c r="H16">
        <v>1</v>
      </c>
      <c r="I16" t="str">
        <v>lot</v>
      </c>
      <c r="J16">
        <v>279579.99999999994</v>
      </c>
      <c r="K16">
        <v>0</v>
      </c>
      <c r="L16">
        <v>279579.99999999994</v>
      </c>
      <c r="M16">
        <v>279579.99999999994</v>
      </c>
      <c r="N16">
        <v>0.006485770491772669</v>
      </c>
      <c r="O16" t="str">
        <v>Completed</v>
      </c>
    </row>
    <row r="17" xml:space="preserve">
      <c r="A17" t="str">
        <v/>
      </c>
      <c r="B17" t="str" xml:space="preserve">
        <v xml:space="preserve">d. Engineering Management_x000d_
 - Clarifications &amp; Drawings</v>
      </c>
      <c r="C17" t="str">
        <v>lot</v>
      </c>
      <c r="D17">
        <v>1</v>
      </c>
      <c r="E17">
        <v>319519</v>
      </c>
      <c r="F17">
        <v>319519</v>
      </c>
      <c r="G17">
        <v>0.007412285935191043</v>
      </c>
      <c r="H17">
        <v>1</v>
      </c>
      <c r="I17" t="str">
        <v>lot</v>
      </c>
      <c r="J17">
        <v>319519</v>
      </c>
      <c r="K17">
        <v>0</v>
      </c>
      <c r="L17">
        <v>319519</v>
      </c>
      <c r="M17">
        <v>319519</v>
      </c>
      <c r="N17">
        <v>0.007412285935191043</v>
      </c>
      <c r="O17" t="str">
        <v>Completed</v>
      </c>
    </row>
    <row r="18">
      <c r="A18" t="str">
        <v/>
      </c>
      <c r="B18" t="str">
        <v>Temporary Works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/>
      </c>
      <c r="B19" t="str">
        <v>a. Site Office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/>
      </c>
      <c r="B20" t="str">
        <v xml:space="preserve">b. Warehouse </v>
      </c>
      <c r="C20" t="str">
        <v>lot</v>
      </c>
      <c r="D20">
        <v>1</v>
      </c>
      <c r="E20">
        <v>51615</v>
      </c>
      <c r="F20">
        <v>51615</v>
      </c>
      <c r="G20">
        <v>0.0011973783673111323</v>
      </c>
      <c r="H20">
        <v>1</v>
      </c>
      <c r="I20" t="str">
        <v>lot</v>
      </c>
      <c r="J20">
        <v>51615</v>
      </c>
      <c r="K20">
        <v>0</v>
      </c>
      <c r="L20">
        <v>51615</v>
      </c>
      <c r="M20">
        <v>51615</v>
      </c>
      <c r="N20">
        <v>0.0011973783673111323</v>
      </c>
      <c r="O20" t="str">
        <v>Completed</v>
      </c>
    </row>
    <row r="21">
      <c r="A21" t="str">
        <v/>
      </c>
      <c r="B21" t="str">
        <v>b. Site Office Materials &amp; Communication</v>
      </c>
      <c r="C21" t="str">
        <v>lot</v>
      </c>
      <c r="D21">
        <v>1</v>
      </c>
      <c r="E21">
        <v>14747</v>
      </c>
      <c r="F21">
        <v>14747</v>
      </c>
      <c r="G21">
        <v>0.0003421047909084039</v>
      </c>
      <c r="H21">
        <v>1</v>
      </c>
      <c r="I21" t="str">
        <v>lot</v>
      </c>
      <c r="J21">
        <v>14747</v>
      </c>
      <c r="K21">
        <v>0</v>
      </c>
      <c r="L21">
        <v>14747</v>
      </c>
      <c r="M21">
        <v>14747</v>
      </c>
      <c r="N21">
        <v>0.0003421047909084039</v>
      </c>
      <c r="O21" t="str">
        <v>Completed</v>
      </c>
    </row>
    <row r="22">
      <c r="A22" t="str">
        <v/>
      </c>
      <c r="B22" t="str">
        <v>c. Temporary Tools &amp; Cleaning Materials</v>
      </c>
      <c r="C22" t="str">
        <v>lot</v>
      </c>
      <c r="D22">
        <v>1</v>
      </c>
      <c r="E22">
        <v>7373.999999999999</v>
      </c>
      <c r="F22">
        <v>7373.999999999999</v>
      </c>
      <c r="G22">
        <v>0.00017106399458592054</v>
      </c>
      <c r="H22">
        <v>1</v>
      </c>
      <c r="I22" t="str">
        <v>lot</v>
      </c>
      <c r="J22">
        <v>0</v>
      </c>
      <c r="K22">
        <v>0</v>
      </c>
      <c r="L22">
        <v>0</v>
      </c>
      <c r="M22">
        <v>0</v>
      </c>
      <c r="N22">
        <v>0</v>
      </c>
      <c r="O22" t="str">
        <v>Ongoing</v>
      </c>
    </row>
    <row r="23" xml:space="preserve">
      <c r="A23" t="str">
        <v/>
      </c>
      <c r="B23" t="str" xml:space="preserve">
        <v xml:space="preserve">b. Off-site Barracks_x000d_
   - Construction and-or Rent_x000d_
   - Electric Consumption_x000d_
   - Water Consumption</v>
      </c>
      <c r="C23" t="str">
        <v>lot</v>
      </c>
      <c r="D23">
        <v>1</v>
      </c>
      <c r="E23">
        <v>184338</v>
      </c>
      <c r="F23">
        <v>184338</v>
      </c>
      <c r="G23">
        <v>0.004276321485486768</v>
      </c>
      <c r="H23">
        <v>1</v>
      </c>
      <c r="I23" t="str">
        <v>lot</v>
      </c>
      <c r="J23">
        <v>0</v>
      </c>
      <c r="K23">
        <v>0</v>
      </c>
      <c r="L23">
        <v>0</v>
      </c>
      <c r="M23">
        <v>0</v>
      </c>
      <c r="N23">
        <v>0</v>
      </c>
      <c r="O23" t="str">
        <v>Ongoing</v>
      </c>
    </row>
    <row r="24">
      <c r="A24" t="str">
        <v/>
      </c>
      <c r="B24" t="str">
        <v>Temporary Utilities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>
        <v>0</v>
      </c>
      <c r="L24" t="str">
        <v/>
      </c>
      <c r="M24" t="str">
        <v/>
      </c>
      <c r="N24" t="str">
        <v/>
      </c>
      <c r="O24" t="str">
        <v/>
      </c>
    </row>
    <row r="25">
      <c r="A25" t="str">
        <v/>
      </c>
      <c r="B25" t="str">
        <v>a. On-Site Water Consumption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>
        <v>0</v>
      </c>
      <c r="L25" t="str">
        <v/>
      </c>
      <c r="M25" t="str">
        <v/>
      </c>
      <c r="N25" t="str">
        <v/>
      </c>
      <c r="O25" t="str">
        <v/>
      </c>
    </row>
    <row r="26">
      <c r="A26" t="str">
        <v/>
      </c>
      <c r="B26" t="str">
        <v>b. On-Site Electric Consumption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>
        <f>K26+L26</f>
        <v>0</v>
      </c>
      <c r="N26">
        <f>M26/43106674.89</f>
        <v>0</v>
      </c>
      <c r="O26" t="str">
        <v/>
      </c>
    </row>
    <row r="27">
      <c r="A27" t="str">
        <v/>
      </c>
      <c r="B27" t="str">
        <v>Security, Safety and Protection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>
        <v>0</v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a. Safety Officer</v>
      </c>
      <c r="C28" t="str">
        <v>lot</v>
      </c>
      <c r="D28">
        <v>1</v>
      </c>
      <c r="E28">
        <v>331806.99999999994</v>
      </c>
      <c r="F28">
        <v>331806.99999999994</v>
      </c>
      <c r="G28">
        <v>0.007697346196307368</v>
      </c>
      <c r="H28">
        <v>1</v>
      </c>
      <c r="I28" t="str">
        <v>lot</v>
      </c>
      <c r="J28">
        <v>0</v>
      </c>
      <c r="K28">
        <v>0</v>
      </c>
      <c r="L28">
        <v>0</v>
      </c>
      <c r="M28">
        <v>0</v>
      </c>
      <c r="N28">
        <v>0</v>
      </c>
      <c r="O28" t="str">
        <v>Ongoing</v>
      </c>
    </row>
    <row r="29">
      <c r="A29" t="str">
        <v/>
      </c>
      <c r="B29" t="str">
        <v>b. Personal Protective Equipment (PPE's)</v>
      </c>
      <c r="C29" t="str">
        <v>lot</v>
      </c>
      <c r="D29">
        <v>1</v>
      </c>
      <c r="E29">
        <v>73735</v>
      </c>
      <c r="F29">
        <v>73735</v>
      </c>
      <c r="G29">
        <v>0.0017105239545420195</v>
      </c>
      <c r="H29">
        <v>1</v>
      </c>
      <c r="I29" t="str">
        <v>lot</v>
      </c>
      <c r="J29">
        <v>0</v>
      </c>
      <c r="K29">
        <v>0</v>
      </c>
      <c r="L29">
        <v>0</v>
      </c>
      <c r="M29">
        <f>K29+L29</f>
        <v>0</v>
      </c>
      <c r="N29">
        <f>M29/43106674.89</f>
        <v>0</v>
      </c>
      <c r="O29" t="str">
        <v>Ongoing</v>
      </c>
    </row>
    <row r="30">
      <c r="A30" t="str">
        <v/>
      </c>
      <c r="B30" t="str">
        <v>b. Security Guards</v>
      </c>
      <c r="C30" t="str">
        <v>lot</v>
      </c>
      <c r="D30">
        <v>1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>
        <v>0</v>
      </c>
      <c r="L30" t="str">
        <v/>
      </c>
      <c r="M30">
        <f>K30+L30</f>
        <v>0</v>
      </c>
      <c r="N30">
        <f>M30/43106674.89</f>
        <v>0</v>
      </c>
      <c r="O30" t="str">
        <v/>
      </c>
    </row>
    <row r="31">
      <c r="A31" t="str">
        <v/>
      </c>
      <c r="B31" t="str">
        <v>Quality Standard and Control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>
        <v>0</v>
      </c>
      <c r="L31" t="str">
        <v/>
      </c>
      <c r="M31">
        <f>K31+L31</f>
        <v>0</v>
      </c>
      <c r="N31">
        <f>M31/43106674.89</f>
        <v>0</v>
      </c>
      <c r="O31" t="str">
        <v/>
      </c>
    </row>
    <row r="32">
      <c r="A32" t="str">
        <v/>
      </c>
      <c r="B32" t="str">
        <v>a. Shopdrawings, As-built plans for Occupancy including Sign &amp; Seal</v>
      </c>
      <c r="C32" t="str">
        <v>lot</v>
      </c>
      <c r="D32">
        <v>1</v>
      </c>
      <c r="E32">
        <v>117976</v>
      </c>
      <c r="F32">
        <v>117976</v>
      </c>
      <c r="G32">
        <v>0.0027368383272672312</v>
      </c>
      <c r="H32">
        <v>1</v>
      </c>
      <c r="I32" t="str">
        <v>lot</v>
      </c>
      <c r="J32">
        <v>0</v>
      </c>
      <c r="K32">
        <v>0</v>
      </c>
      <c r="L32">
        <v>0</v>
      </c>
      <c r="M32">
        <f>K32+L32</f>
        <v>0</v>
      </c>
      <c r="N32">
        <f>M32/43106674.89</f>
        <v>0</v>
      </c>
      <c r="O32" t="str">
        <v>Ongoing</v>
      </c>
    </row>
    <row r="33">
      <c r="A33" t="str">
        <v/>
      </c>
      <c r="B33" t="str">
        <v>b. Material Testing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Transportation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>
        <v>0</v>
      </c>
      <c r="L34" t="str">
        <v/>
      </c>
      <c r="M34" t="str">
        <v/>
      </c>
      <c r="N34" t="str">
        <v/>
      </c>
      <c r="O34" t="str">
        <v/>
      </c>
    </row>
    <row r="35">
      <c r="A35" t="str">
        <v/>
      </c>
      <c r="B35" t="str">
        <v>a. Manpower Service</v>
      </c>
      <c r="C35" t="str">
        <v>lot</v>
      </c>
      <c r="D35">
        <v>1</v>
      </c>
      <c r="E35">
        <v>147470</v>
      </c>
      <c r="F35">
        <v>147470</v>
      </c>
      <c r="G35">
        <v>0.003421047909084039</v>
      </c>
      <c r="H35">
        <v>1</v>
      </c>
      <c r="I35" t="str">
        <v>lot</v>
      </c>
      <c r="J35">
        <v>0</v>
      </c>
      <c r="K35">
        <v>0</v>
      </c>
      <c r="L35">
        <v>0</v>
      </c>
      <c r="M35">
        <v>0</v>
      </c>
      <c r="N35">
        <v>0</v>
      </c>
      <c r="O35" t="str">
        <v>Ongoing</v>
      </c>
    </row>
    <row r="36">
      <c r="A36" t="str">
        <v/>
      </c>
      <c r="B36" t="str">
        <v>b. Engineer Transportation</v>
      </c>
      <c r="C36" t="str">
        <v>lot</v>
      </c>
      <c r="D36">
        <v>1</v>
      </c>
      <c r="E36">
        <v>110603</v>
      </c>
      <c r="F36">
        <v>110603</v>
      </c>
      <c r="G36">
        <v>0.0025657975309447477</v>
      </c>
      <c r="H36">
        <v>1</v>
      </c>
      <c r="I36" t="str">
        <v>lot</v>
      </c>
      <c r="J36">
        <v>0</v>
      </c>
      <c r="K36">
        <v>0</v>
      </c>
      <c r="L36">
        <v>0</v>
      </c>
      <c r="M36">
        <f>K36+L36</f>
        <v>0</v>
      </c>
      <c r="N36">
        <f>M36/43106674.89</f>
        <v>0</v>
      </c>
      <c r="O36" t="str">
        <v>Ongoing</v>
      </c>
    </row>
    <row r="37">
      <c r="A37" t="str">
        <v/>
      </c>
      <c r="B37" t="str">
        <v>c. Village Delivery/Gate Pass Fees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>
        <v>0</v>
      </c>
      <c r="L37" t="str">
        <v/>
      </c>
      <c r="M37">
        <f>K37+L37</f>
        <v>0</v>
      </c>
      <c r="N37">
        <f>M37/43106674.89</f>
        <v>0</v>
      </c>
      <c r="O37" t="str">
        <v/>
      </c>
    </row>
    <row r="38">
      <c r="A38" t="str">
        <v>III</v>
      </c>
      <c r="B38" t="str">
        <v>MECHANICAL WORKS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>
        <v>0</v>
      </c>
      <c r="L38" t="str">
        <v/>
      </c>
      <c r="M38">
        <f>K38+L38</f>
        <v>0</v>
      </c>
      <c r="N38">
        <f>M38/43106674.89</f>
        <v>0</v>
      </c>
      <c r="O38" t="str">
        <v/>
      </c>
    </row>
    <row r="39">
      <c r="A39" t="str">
        <v/>
      </c>
      <c r="B39" t="str">
        <v>Mechanical Works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>
        <f>K39+L39</f>
        <v>0</v>
      </c>
      <c r="N39">
        <f>M39/43106674.89</f>
        <v>0</v>
      </c>
      <c r="O39" t="str">
        <v/>
      </c>
    </row>
    <row r="40">
      <c r="A40" t="str">
        <v>I-A.</v>
      </c>
      <c r="B40" t="str">
        <v>AIR CONDITIONING- VRV SYSTEM A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ACCU- 18HP Model: RXQ18BYM</v>
      </c>
      <c r="C41" t="str">
        <v>units</v>
      </c>
      <c r="D41">
        <v>3</v>
      </c>
      <c r="E41">
        <v>741057.71</v>
      </c>
      <c r="F41">
        <v>2223173.13</v>
      </c>
      <c r="G41">
        <v>0.05157375593624682</v>
      </c>
      <c r="H41" t="str">
        <v/>
      </c>
      <c r="I41" t="str">
        <v>units</v>
      </c>
      <c r="J41">
        <v>0</v>
      </c>
      <c r="K41">
        <v>0</v>
      </c>
      <c r="L41">
        <v>0</v>
      </c>
      <c r="M41">
        <v>0</v>
      </c>
      <c r="N41">
        <v>0</v>
      </c>
      <c r="O41" t="str">
        <v>Ongoing</v>
      </c>
    </row>
    <row r="42">
      <c r="A42" t="str">
        <v/>
      </c>
      <c r="B42" t="str">
        <v>FCU- 2 HP Wall Mounted VRF A (OR No. 2, PNCOU, OR No.3, OR, Pantry, OR Complex Conference Room) Model: FXAQ50BVM</v>
      </c>
      <c r="C42" t="str">
        <v>units</v>
      </c>
      <c r="D42">
        <v>6</v>
      </c>
      <c r="E42">
        <v>55087.33999999999</v>
      </c>
      <c r="F42">
        <v>330524.0399999999</v>
      </c>
      <c r="G42">
        <v>0.007667583752247976</v>
      </c>
      <c r="H42" t="str">
        <v/>
      </c>
      <c r="I42" t="str">
        <v>units</v>
      </c>
      <c r="J42">
        <v>0</v>
      </c>
      <c r="K42">
        <v>0</v>
      </c>
      <c r="L42">
        <v>0</v>
      </c>
      <c r="M42">
        <v>0</v>
      </c>
      <c r="N42">
        <v>0</v>
      </c>
      <c r="O42" t="str">
        <v>Ongoing</v>
      </c>
    </row>
    <row r="43">
      <c r="A43" t="str">
        <v/>
      </c>
      <c r="B43" t="str">
        <v>FCU- 2.5HP Wall Mounted VRF A (OR No. 2 ENT, OR No. 1 ENT, Chief Nurse, OR Pharmacy) Model: FXAQ63BVM</v>
      </c>
      <c r="C43" t="str">
        <v>units</v>
      </c>
      <c r="D43">
        <v>3</v>
      </c>
      <c r="E43">
        <v>56222.86000000001</v>
      </c>
      <c r="F43">
        <v>168668.58000000002</v>
      </c>
      <c r="G43">
        <v>0.0039128181524186205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>Ongoing</v>
      </c>
    </row>
    <row r="44">
      <c r="A44" t="str">
        <v/>
      </c>
      <c r="B44" t="str">
        <v>FCU- 6HP ceiling Cassette VRF A (Corridor Near OR No.1, Corridor Near OR No. 2 ENT) Model: FXFQ140AVM</v>
      </c>
      <c r="C44" t="str">
        <v>units</v>
      </c>
      <c r="D44">
        <v>2</v>
      </c>
      <c r="E44">
        <v>87530.69</v>
      </c>
      <c r="F44">
        <v>175061.38</v>
      </c>
      <c r="G44">
        <v>0.004061120010919959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>Ongoing</v>
      </c>
    </row>
    <row r="45">
      <c r="A45" t="str">
        <v/>
      </c>
      <c r="B45" t="str">
        <v>Accessories: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>
        <v>0</v>
      </c>
      <c r="L45" t="str">
        <v/>
      </c>
      <c r="M45" t="str">
        <v/>
      </c>
      <c r="N45" t="str">
        <v/>
      </c>
      <c r="O45" t="str">
        <v/>
      </c>
    </row>
    <row r="46">
      <c r="A46" t="str">
        <v/>
      </c>
      <c r="B46" t="str">
        <v>Navigation Wired Controller Model: BRC1E63</v>
      </c>
      <c r="C46" t="str">
        <v>units</v>
      </c>
      <c r="D46">
        <v>11</v>
      </c>
      <c r="E46">
        <v>11760.720000000003</v>
      </c>
      <c r="F46">
        <v>129367.92000000003</v>
      </c>
      <c r="G46">
        <v>0.0030011110884827514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>Ongoing</v>
      </c>
    </row>
    <row r="47">
      <c r="A47" t="str">
        <v/>
      </c>
      <c r="B47" t="str">
        <v>Standard panel(Fresh white) Model: BYCQ125EAF</v>
      </c>
      <c r="C47" t="str">
        <v>units</v>
      </c>
      <c r="D47">
        <v>2</v>
      </c>
      <c r="E47">
        <v>22345.370000000003</v>
      </c>
      <c r="F47">
        <v>44690.740000000005</v>
      </c>
      <c r="G47">
        <v>0.0010367475597234585</v>
      </c>
      <c r="H47" t="str">
        <v/>
      </c>
      <c r="I47" t="str">
        <v>units</v>
      </c>
      <c r="J47">
        <v>0</v>
      </c>
      <c r="K47">
        <v>0</v>
      </c>
      <c r="L47">
        <v>0</v>
      </c>
      <c r="M47">
        <f>K47+L47</f>
        <v>0</v>
      </c>
      <c r="N47">
        <f>M47/43106674.89</f>
        <v>0</v>
      </c>
      <c r="O47" t="str">
        <v>Ongoing</v>
      </c>
    </row>
    <row r="48">
      <c r="A48" t="str">
        <v/>
      </c>
      <c r="B48" t="str">
        <v>Refnet Joints Model: KHRP26A22T</v>
      </c>
      <c r="C48" t="str">
        <v>units</v>
      </c>
      <c r="D48">
        <v>2</v>
      </c>
      <c r="E48">
        <v>4351.47</v>
      </c>
      <c r="F48">
        <v>8702.94</v>
      </c>
      <c r="G48">
        <v>0.00020189309479815451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f>K48+L48</f>
        <v>0</v>
      </c>
      <c r="N48">
        <f>M48/43106674.89</f>
        <v>0</v>
      </c>
      <c r="O48" t="str">
        <v>Ongoing</v>
      </c>
    </row>
    <row r="49">
      <c r="A49" t="str">
        <v/>
      </c>
      <c r="B49" t="str">
        <v>Refnet Joints Model: KHRP26A33T</v>
      </c>
      <c r="C49" t="str">
        <v>units</v>
      </c>
      <c r="D49">
        <v>2</v>
      </c>
      <c r="E49">
        <v>4939.510000000001</v>
      </c>
      <c r="F49">
        <v>9879.020000000002</v>
      </c>
      <c r="G49">
        <v>0.00022917610846137797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>Ongoing</v>
      </c>
    </row>
    <row r="50">
      <c r="A50" t="str">
        <v/>
      </c>
      <c r="B50" t="str">
        <v>Refnet Joints Model: KHRP26A732T</v>
      </c>
      <c r="C50" t="str">
        <v>units</v>
      </c>
      <c r="D50">
        <v>3</v>
      </c>
      <c r="E50">
        <v>8232.51</v>
      </c>
      <c r="F50">
        <v>24697.53</v>
      </c>
      <c r="G50">
        <v>0.0005729398071881761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>Ongoing</v>
      </c>
    </row>
    <row r="51">
      <c r="A51" t="str">
        <v/>
      </c>
      <c r="B51" t="str">
        <v>Refnet Joints Model: KHRP26A733T</v>
      </c>
      <c r="C51" t="str">
        <v>units</v>
      </c>
      <c r="D51">
        <v>3</v>
      </c>
      <c r="E51">
        <v>14112.87</v>
      </c>
      <c r="F51">
        <v>42338.61</v>
      </c>
      <c r="G51">
        <v>0.0009821822283449149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>Ongoing</v>
      </c>
    </row>
    <row r="52">
      <c r="A52" t="str">
        <v/>
      </c>
      <c r="B52" t="str">
        <v>Pipe Size Reducer Model: KHRP26M73TP</v>
      </c>
      <c r="C52" t="str">
        <v>units</v>
      </c>
      <c r="D52">
        <v>3</v>
      </c>
      <c r="E52">
        <v>5997.970000000001</v>
      </c>
      <c r="F52">
        <v>17993.910000000003</v>
      </c>
      <c r="G52">
        <v>0.00041742746444528643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f>K52+L52</f>
        <v>0</v>
      </c>
      <c r="N52">
        <f>M52/43106674.89</f>
        <v>0</v>
      </c>
      <c r="O52" t="str">
        <v>Ongoing</v>
      </c>
    </row>
    <row r="53">
      <c r="A53" t="str">
        <v/>
      </c>
      <c r="B53" t="str">
        <v>VRV Multi Con piping kit Model: BHFP22R168-7</v>
      </c>
      <c r="C53" t="str">
        <v>units</v>
      </c>
      <c r="D53">
        <v>1</v>
      </c>
      <c r="E53">
        <v>39751.22</v>
      </c>
      <c r="F53">
        <v>39751.22</v>
      </c>
      <c r="G53">
        <v>0.0009221592735101353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>Ongoing</v>
      </c>
    </row>
    <row r="54">
      <c r="A54" t="str">
        <v/>
      </c>
      <c r="B54" t="str">
        <v xml:space="preserve">Copper Pipes - Type L Hard Drawn Pipes 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>
        <v>0</v>
      </c>
      <c r="L54" t="str">
        <v/>
      </c>
      <c r="M54" t="str">
        <v/>
      </c>
      <c r="N54" t="str">
        <v/>
      </c>
      <c r="O54" t="str">
        <v/>
      </c>
    </row>
    <row r="55">
      <c r="A55" t="str">
        <v/>
      </c>
      <c r="B55" t="str">
        <v>1/4"</v>
      </c>
      <c r="C55" t="str">
        <v>length/s</v>
      </c>
      <c r="D55">
        <v>10</v>
      </c>
      <c r="E55">
        <v>2120.33</v>
      </c>
      <c r="F55">
        <v>21203.3</v>
      </c>
      <c r="G55">
        <v>0.000491879739138005</v>
      </c>
      <c r="H55" t="str">
        <v/>
      </c>
      <c r="I55" t="str">
        <v>length/s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>Ongoing</v>
      </c>
    </row>
    <row r="56">
      <c r="A56" t="str">
        <v/>
      </c>
      <c r="B56" t="str">
        <v>3/8"</v>
      </c>
      <c r="C56" t="str">
        <v>length/s</v>
      </c>
      <c r="D56">
        <v>13</v>
      </c>
      <c r="E56">
        <v>2952.3500000000004</v>
      </c>
      <c r="F56">
        <v>38380.55</v>
      </c>
      <c r="G56">
        <v>0.0008903621097646669</v>
      </c>
      <c r="H56" t="str">
        <v/>
      </c>
      <c r="I56" t="str">
        <v>length/s</v>
      </c>
      <c r="J56">
        <v>0</v>
      </c>
      <c r="K56">
        <v>0</v>
      </c>
      <c r="L56">
        <v>0</v>
      </c>
      <c r="M56">
        <f>K56+L56</f>
        <v>0</v>
      </c>
      <c r="N56">
        <f>M56/43106674.89</f>
        <v>0</v>
      </c>
      <c r="O56" t="str">
        <v>Ongoing</v>
      </c>
    </row>
    <row r="57">
      <c r="A57" t="str">
        <v/>
      </c>
      <c r="B57" t="str">
        <v>1/2"</v>
      </c>
      <c r="C57" t="str">
        <v>length/s</v>
      </c>
      <c r="D57">
        <v>14</v>
      </c>
      <c r="E57">
        <v>4696.92</v>
      </c>
      <c r="F57">
        <v>65756.88</v>
      </c>
      <c r="G57">
        <v>0.001525445425048417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f>K57+L57</f>
        <v>0</v>
      </c>
      <c r="N57">
        <f>M57/43106674.89</f>
        <v>0</v>
      </c>
      <c r="O57" t="str">
        <v>Ongoing</v>
      </c>
    </row>
    <row r="58">
      <c r="A58" t="str">
        <v/>
      </c>
      <c r="B58" t="str">
        <v>5/8"</v>
      </c>
      <c r="C58" t="str">
        <v>length/s</v>
      </c>
      <c r="D58">
        <v>9</v>
      </c>
      <c r="E58">
        <v>6775.95</v>
      </c>
      <c r="F58">
        <v>60983.549999999996</v>
      </c>
      <c r="G58">
        <v>0.001414712458235722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>Ongoing</v>
      </c>
    </row>
    <row r="59">
      <c r="A59" t="str">
        <v/>
      </c>
      <c r="B59" t="str">
        <v>3/4"</v>
      </c>
      <c r="C59" t="str">
        <v>length/s</v>
      </c>
      <c r="D59">
        <v>9</v>
      </c>
      <c r="E59">
        <v>8642.33</v>
      </c>
      <c r="F59">
        <v>77780.97</v>
      </c>
      <c r="G59">
        <v>0.001804383432461032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>Ongoing</v>
      </c>
    </row>
    <row r="60">
      <c r="A60" t="str">
        <v/>
      </c>
      <c r="B60" t="str">
        <v>7/8"</v>
      </c>
      <c r="C60" t="str">
        <v>length/s</v>
      </c>
      <c r="D60">
        <v>2</v>
      </c>
      <c r="E60">
        <v>10870.01</v>
      </c>
      <c r="F60">
        <v>21740.02</v>
      </c>
      <c r="G60">
        <v>0.0005043307110900196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>Ongoing</v>
      </c>
    </row>
    <row r="61">
      <c r="A61" t="str">
        <v/>
      </c>
      <c r="B61" t="str">
        <v>1-1/8"</v>
      </c>
      <c r="C61" t="str">
        <v>length/s</v>
      </c>
      <c r="D61">
        <v>8</v>
      </c>
      <c r="E61">
        <v>15566.920000000002</v>
      </c>
      <c r="F61">
        <v>124535.36000000002</v>
      </c>
      <c r="G61">
        <v>0.0028890040885266705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>Ongoing</v>
      </c>
    </row>
    <row r="62">
      <c r="A62" t="str">
        <v/>
      </c>
      <c r="B62" t="str">
        <v>1-3/8"</v>
      </c>
      <c r="C62" t="str">
        <v>length/s</v>
      </c>
      <c r="D62">
        <v>5</v>
      </c>
      <c r="E62">
        <v>21015.330000000005</v>
      </c>
      <c r="F62">
        <v>105076.65000000002</v>
      </c>
      <c r="G62">
        <v>0.0024375958077985723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>Ongoing</v>
      </c>
    </row>
    <row r="63">
      <c r="A63" t="str">
        <v/>
      </c>
      <c r="B63" t="str">
        <v>1-5/8"</v>
      </c>
      <c r="C63" t="str">
        <v>length/s</v>
      </c>
      <c r="D63">
        <v>4</v>
      </c>
      <c r="E63">
        <v>21015.33</v>
      </c>
      <c r="F63">
        <v>84061.32</v>
      </c>
      <c r="G63">
        <v>0.0019500766462388574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>Ongoing</v>
      </c>
    </row>
    <row r="64">
      <c r="A64" t="str">
        <v/>
      </c>
      <c r="B64" t="str">
        <v xml:space="preserve">Copper Pipes Insulation 25mm Thick 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 t="str">
        <v/>
      </c>
      <c r="B65" t="str">
        <v>1/4"</v>
      </c>
      <c r="C65" t="str">
        <v>length/s</v>
      </c>
      <c r="D65">
        <v>19</v>
      </c>
      <c r="E65">
        <v>433.57</v>
      </c>
      <c r="F65">
        <v>8237.83</v>
      </c>
      <c r="G65">
        <v>0.00019110335049087794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>Ongoing</v>
      </c>
    </row>
    <row r="66">
      <c r="A66" t="str">
        <v/>
      </c>
      <c r="B66" t="str">
        <v>3/8"</v>
      </c>
      <c r="C66" t="str">
        <v>length/s</v>
      </c>
      <c r="D66">
        <v>26</v>
      </c>
      <c r="E66">
        <v>441.8299999999999</v>
      </c>
      <c r="F66">
        <v>11487.579999999998</v>
      </c>
      <c r="G66">
        <v>0.000266491907095922</v>
      </c>
      <c r="H66" t="str">
        <v/>
      </c>
      <c r="I66" t="str">
        <v>length/s</v>
      </c>
      <c r="J66">
        <v>0</v>
      </c>
      <c r="K66">
        <v>0</v>
      </c>
      <c r="L66">
        <v>0</v>
      </c>
      <c r="M66">
        <v>0</v>
      </c>
      <c r="N66">
        <v>0</v>
      </c>
      <c r="O66" t="str">
        <v>Ongoing</v>
      </c>
    </row>
    <row r="67">
      <c r="A67" t="str">
        <v/>
      </c>
      <c r="B67" t="str">
        <v>1/2"</v>
      </c>
      <c r="C67" t="str">
        <v>length/s</v>
      </c>
      <c r="D67">
        <v>27</v>
      </c>
      <c r="E67">
        <v>516.15</v>
      </c>
      <c r="F67">
        <v>13936.05</v>
      </c>
      <c r="G67">
        <v>0.0003232921591740057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f>K67+L67</f>
        <v>0</v>
      </c>
      <c r="N67">
        <f>M67/43106674.89</f>
        <v>0</v>
      </c>
      <c r="O67" t="str">
        <v>Ongoing</v>
      </c>
    </row>
    <row r="68">
      <c r="A68" t="str">
        <v/>
      </c>
      <c r="B68" t="str">
        <v>5/8"</v>
      </c>
      <c r="C68" t="str">
        <v>length/s</v>
      </c>
      <c r="D68">
        <v>18</v>
      </c>
      <c r="E68">
        <v>629.71</v>
      </c>
      <c r="F68">
        <v>11334.78</v>
      </c>
      <c r="G68">
        <v>0.00026294721244271774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f>K68+L68</f>
        <v>0</v>
      </c>
      <c r="N68">
        <f>M68/43106674.89</f>
        <v>0</v>
      </c>
      <c r="O68" t="str">
        <v>Ongoing</v>
      </c>
    </row>
    <row r="69">
      <c r="A69" t="str">
        <v/>
      </c>
      <c r="B69" t="str">
        <v>3/4"</v>
      </c>
      <c r="C69" t="str">
        <v>length/s</v>
      </c>
      <c r="D69">
        <v>17</v>
      </c>
      <c r="E69">
        <v>708.16</v>
      </c>
      <c r="F69">
        <v>12038.72</v>
      </c>
      <c r="G69">
        <v>0.00027927739800670103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f>K69+L69</f>
        <v>0</v>
      </c>
      <c r="N69">
        <f>M69/43106674.89</f>
        <v>0</v>
      </c>
      <c r="O69" t="str">
        <v>Ongoing</v>
      </c>
    </row>
    <row r="70">
      <c r="A70" t="str">
        <v/>
      </c>
      <c r="B70" t="str">
        <v>7/8"</v>
      </c>
      <c r="C70" t="str">
        <v>length/s</v>
      </c>
      <c r="D70">
        <v>4</v>
      </c>
      <c r="E70">
        <v>784.55</v>
      </c>
      <c r="F70">
        <v>3138.2</v>
      </c>
      <c r="G70">
        <v>0.00007280079031862434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f>K70+L70</f>
        <v>0</v>
      </c>
      <c r="N70">
        <f>M70/43106674.89</f>
        <v>0</v>
      </c>
      <c r="O70" t="str">
        <v>Ongoing</v>
      </c>
    </row>
    <row r="71">
      <c r="A71" t="str">
        <v/>
      </c>
      <c r="B71" t="str">
        <v>1-1/8"</v>
      </c>
      <c r="C71" t="str">
        <v>length/s</v>
      </c>
      <c r="D71">
        <v>15</v>
      </c>
      <c r="E71">
        <v>846.49</v>
      </c>
      <c r="F71">
        <v>12697.35</v>
      </c>
      <c r="G71">
        <v>0.00029455647025434476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>Ongoing</v>
      </c>
    </row>
    <row r="72">
      <c r="A72" t="str">
        <v/>
      </c>
      <c r="B72" t="str">
        <v>1-3/8"</v>
      </c>
      <c r="C72" t="str">
        <v>length/s</v>
      </c>
      <c r="D72">
        <v>10</v>
      </c>
      <c r="E72">
        <v>896.03</v>
      </c>
      <c r="F72">
        <v>8960.3</v>
      </c>
      <c r="G72">
        <v>0.00020786339987635257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>Ongoing</v>
      </c>
    </row>
    <row r="73">
      <c r="A73" t="str">
        <v/>
      </c>
      <c r="B73" t="str">
        <v>1-5/8"</v>
      </c>
      <c r="C73" t="str">
        <v>length/s</v>
      </c>
      <c r="D73">
        <v>8</v>
      </c>
      <c r="E73">
        <v>896.03</v>
      </c>
      <c r="F73">
        <v>7168.24</v>
      </c>
      <c r="G73">
        <v>0.00016629071990108206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f>K73+L73</f>
        <v>0</v>
      </c>
      <c r="N73">
        <f>M73/43106674.89</f>
        <v>0</v>
      </c>
      <c r="O73" t="str">
        <v>Ongoing</v>
      </c>
    </row>
    <row r="74">
      <c r="A74" t="str">
        <v/>
      </c>
      <c r="B74" t="str">
        <v>Copper Pipe Fittings</v>
      </c>
      <c r="C74" t="str">
        <v>lot</v>
      </c>
      <c r="D74">
        <v>1</v>
      </c>
      <c r="E74">
        <v>57975.92</v>
      </c>
      <c r="F74">
        <v>57975.92</v>
      </c>
      <c r="G74">
        <v>0.001344940665174093</v>
      </c>
      <c r="H74">
        <v>1</v>
      </c>
      <c r="I74" t="str">
        <v>lot</v>
      </c>
      <c r="J74">
        <v>0</v>
      </c>
      <c r="K74">
        <v>0</v>
      </c>
      <c r="L74">
        <v>0</v>
      </c>
      <c r="M74">
        <f>K74+L74</f>
        <v>0</v>
      </c>
      <c r="N74">
        <f>M74/43106674.89</f>
        <v>0</v>
      </c>
      <c r="O74" t="str">
        <v>Ongoing</v>
      </c>
    </row>
    <row r="75">
      <c r="A75" t="str">
        <v/>
      </c>
      <c r="B75" t="str">
        <v>Isolation Ball Valves</v>
      </c>
      <c r="C75" t="str">
        <v>pc/s</v>
      </c>
      <c r="D75">
        <v>22</v>
      </c>
      <c r="E75">
        <v>3207.4800000000005</v>
      </c>
      <c r="F75">
        <v>70564.56000000001</v>
      </c>
      <c r="G75">
        <v>0.0016369752522101802</v>
      </c>
      <c r="H75" t="str">
        <v/>
      </c>
      <c r="I75" t="str">
        <v>pc/s</v>
      </c>
      <c r="J75">
        <v>0</v>
      </c>
      <c r="K75">
        <v>0</v>
      </c>
      <c r="L75">
        <v>0</v>
      </c>
      <c r="M75">
        <f>K75+L75</f>
        <v>0</v>
      </c>
      <c r="N75">
        <f>M75/43106674.89</f>
        <v>0</v>
      </c>
      <c r="O75" t="str">
        <v>Ongoing</v>
      </c>
    </row>
    <row r="76">
      <c r="A76" t="str">
        <v/>
      </c>
      <c r="B76" t="str">
        <v>PVC Cladding Works</v>
      </c>
      <c r="C76" t="str">
        <v>lot</v>
      </c>
      <c r="D76">
        <v>1</v>
      </c>
      <c r="E76">
        <v>22281.85</v>
      </c>
      <c r="F76">
        <v>22281.85</v>
      </c>
      <c r="G76">
        <v>0.0005169002261681983</v>
      </c>
      <c r="H76">
        <v>1</v>
      </c>
      <c r="I76" t="str">
        <v>lot</v>
      </c>
      <c r="J76">
        <v>0</v>
      </c>
      <c r="K76">
        <v>0</v>
      </c>
      <c r="L76">
        <v>0</v>
      </c>
      <c r="M76">
        <f>K76+L76</f>
        <v>0</v>
      </c>
      <c r="N76">
        <f>M76/43106674.89</f>
        <v>0</v>
      </c>
      <c r="O76" t="str">
        <v>Ongoing</v>
      </c>
    </row>
    <row r="77">
      <c r="A77" t="str">
        <v/>
      </c>
      <c r="B77" t="str">
        <v>Concrete Pad</v>
      </c>
      <c r="C77" t="str">
        <v>pcs</v>
      </c>
      <c r="D77">
        <v>3</v>
      </c>
      <c r="E77">
        <v>9622.41</v>
      </c>
      <c r="F77">
        <v>28867.23</v>
      </c>
      <c r="G77">
        <v>0.0006696696062422733</v>
      </c>
      <c r="H77" t="str">
        <v/>
      </c>
      <c r="I77" t="str">
        <v>pcs</v>
      </c>
      <c r="J77" t="str">
        <v/>
      </c>
      <c r="K77">
        <v>0</v>
      </c>
      <c r="L77">
        <v>0</v>
      </c>
      <c r="M77">
        <f>K77+L77</f>
        <v>0</v>
      </c>
      <c r="N77">
        <f>M77/43106674.89</f>
        <v>0</v>
      </c>
      <c r="O77" t="str">
        <v>Ongoing</v>
      </c>
    </row>
    <row r="78">
      <c r="A78" t="str">
        <v/>
      </c>
      <c r="B78" t="str">
        <v>Condensate Drain Pipes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>
        <v>0</v>
      </c>
      <c r="L78" t="str">
        <v/>
      </c>
      <c r="M78">
        <f>K78+L78</f>
        <v>0</v>
      </c>
      <c r="N78">
        <f>M78/43106674.89</f>
        <v>0</v>
      </c>
      <c r="O78" t="str">
        <v/>
      </c>
    </row>
    <row r="79">
      <c r="A79" t="str">
        <v/>
      </c>
      <c r="B79" t="str">
        <v>32mm dia. uPVC blue pipe PNS 65</v>
      </c>
      <c r="C79" t="str">
        <v>length/s</v>
      </c>
      <c r="D79">
        <v>39</v>
      </c>
      <c r="E79">
        <v>404.15</v>
      </c>
      <c r="F79">
        <v>15761.849999999999</v>
      </c>
      <c r="G79">
        <v>0.00036564754855764736</v>
      </c>
      <c r="H79" t="str">
        <v/>
      </c>
      <c r="I79" t="str">
        <v>length/s</v>
      </c>
      <c r="J79">
        <v>0</v>
      </c>
      <c r="K79">
        <v>0</v>
      </c>
      <c r="L79">
        <v>0</v>
      </c>
      <c r="M79">
        <f>K79+L79</f>
        <v>0</v>
      </c>
      <c r="N79">
        <f>M79/43106674.89</f>
        <v>0</v>
      </c>
      <c r="O79" t="str">
        <v>Ongoing</v>
      </c>
    </row>
    <row r="80">
      <c r="A80" t="str">
        <v/>
      </c>
      <c r="B80" t="str">
        <v>50mm dia. PVC blue uPVC blue pipe PNS 65</v>
      </c>
      <c r="C80" t="str">
        <v>length/s</v>
      </c>
      <c r="D80">
        <v>22</v>
      </c>
      <c r="E80">
        <v>641.8299999999999</v>
      </c>
      <c r="F80">
        <v>14120.259999999998</v>
      </c>
      <c r="G80">
        <v>0.0003275655112817725</v>
      </c>
      <c r="H80" t="str">
        <v/>
      </c>
      <c r="I80" t="str">
        <v>length/s</v>
      </c>
      <c r="J80">
        <v>0</v>
      </c>
      <c r="K80">
        <v>0</v>
      </c>
      <c r="L80">
        <v>0</v>
      </c>
      <c r="M80">
        <f>K80+L80</f>
        <v>0</v>
      </c>
      <c r="N80">
        <f>M80/43106674.89</f>
        <v>0</v>
      </c>
      <c r="O80" t="str">
        <v>Ongoing</v>
      </c>
    </row>
    <row r="81">
      <c r="A81" t="str">
        <v/>
      </c>
      <c r="B81" t="str">
        <v>Condensate Drain Pipes Rubber Insulation 1.5 meters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</row>
    <row r="82">
      <c r="A82" t="str">
        <v/>
      </c>
      <c r="B82" t="str">
        <v>3/4'' thick for 32mm pvc</v>
      </c>
      <c r="C82" t="str">
        <v>length/s</v>
      </c>
      <c r="D82">
        <v>77</v>
      </c>
      <c r="E82">
        <v>427.66999999999996</v>
      </c>
      <c r="F82">
        <v>32930.59</v>
      </c>
      <c r="G82">
        <v>0.0007639325019624585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>Ongoing</v>
      </c>
    </row>
    <row r="83">
      <c r="A83" t="str">
        <v/>
      </c>
      <c r="B83" t="str">
        <v>3/4'' thick for 50mm pvc</v>
      </c>
      <c r="C83" t="str">
        <v>length/s</v>
      </c>
      <c r="D83">
        <v>43</v>
      </c>
      <c r="E83">
        <v>812.5699999999998</v>
      </c>
      <c r="F83">
        <v>34940.509999999995</v>
      </c>
      <c r="G83">
        <v>0.0008105591556101575</v>
      </c>
      <c r="H83" t="str">
        <v/>
      </c>
      <c r="I83" t="str">
        <v>length/s</v>
      </c>
      <c r="J83">
        <v>0</v>
      </c>
      <c r="K83">
        <v>0</v>
      </c>
      <c r="L83">
        <v>0</v>
      </c>
      <c r="M83">
        <v>0</v>
      </c>
      <c r="N83">
        <v>0</v>
      </c>
      <c r="O83" t="str">
        <v>Ongoing</v>
      </c>
    </row>
    <row r="84">
      <c r="A84" t="str">
        <v/>
      </c>
      <c r="B84" t="str">
        <v>Drain Pump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>
        <v>0</v>
      </c>
      <c r="L84" t="str">
        <v/>
      </c>
      <c r="M84">
        <f>K84+L84</f>
        <v>0</v>
      </c>
      <c r="N84">
        <f>M84/43106674.89</f>
        <v>0</v>
      </c>
      <c r="O84" t="str">
        <v/>
      </c>
    </row>
    <row r="85">
      <c r="A85" t="str">
        <v/>
      </c>
      <c r="B85" t="str">
        <v xml:space="preserve"> (5.0m pump Lift) Model: BDU513A450VE</v>
      </c>
      <c r="C85" t="str">
        <v>pcs</v>
      </c>
      <c r="D85">
        <v>9</v>
      </c>
      <c r="E85">
        <v>30473.16</v>
      </c>
      <c r="F85">
        <v>274258.44</v>
      </c>
      <c r="G85">
        <v>0.0063623195409957985</v>
      </c>
      <c r="H85" t="str">
        <v/>
      </c>
      <c r="I85" t="str">
        <v>pcs</v>
      </c>
      <c r="J85" t="str">
        <v/>
      </c>
      <c r="K85">
        <v>0</v>
      </c>
      <c r="L85">
        <v>0</v>
      </c>
      <c r="M85">
        <f>K85+L85</f>
        <v>0</v>
      </c>
      <c r="N85">
        <f>M85/43106674.89</f>
        <v>0</v>
      </c>
      <c r="O85" t="str">
        <v>Ongoing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>
        <v>0</v>
      </c>
      <c r="K86">
        <v>0</v>
      </c>
      <c r="L86" t="str">
        <v/>
      </c>
      <c r="M86">
        <f>K86+L86</f>
        <v>0</v>
      </c>
      <c r="N86">
        <f>M86/43106674.89</f>
        <v>0</v>
      </c>
      <c r="O86" t="str">
        <v/>
      </c>
    </row>
    <row r="87">
      <c r="A87" t="str">
        <v/>
      </c>
      <c r="B87" t="str">
        <v>Fittings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>
        <v>0</v>
      </c>
      <c r="L87" t="str">
        <v/>
      </c>
      <c r="M87">
        <f>K87+L87</f>
        <v>0</v>
      </c>
      <c r="N87">
        <f>M87/43106674.89</f>
        <v>0</v>
      </c>
      <c r="O87" t="str">
        <v/>
      </c>
    </row>
    <row r="88">
      <c r="A88" t="str">
        <v/>
      </c>
      <c r="B88" t="str">
        <v>Wye Reducer 50 x 32</v>
      </c>
      <c r="C88" t="str">
        <v>pcs</v>
      </c>
      <c r="D88">
        <v>11</v>
      </c>
      <c r="E88">
        <v>192.45999999999995</v>
      </c>
      <c r="F88">
        <v>2117.0599999999995</v>
      </c>
      <c r="G88">
        <v>0.00004911211559236084</v>
      </c>
      <c r="H88" t="str">
        <v/>
      </c>
      <c r="I88" t="str">
        <v>pcs</v>
      </c>
      <c r="J88">
        <v>0</v>
      </c>
      <c r="K88">
        <v>0</v>
      </c>
      <c r="L88">
        <v>0</v>
      </c>
      <c r="M88">
        <f>K88+L88</f>
        <v>0</v>
      </c>
      <c r="N88">
        <f>M88/43106674.89</f>
        <v>0</v>
      </c>
      <c r="O88" t="str">
        <v>Ongoing</v>
      </c>
    </row>
    <row r="89">
      <c r="A89" t="str">
        <v/>
      </c>
      <c r="B89" t="str">
        <v>Tee 32mm</v>
      </c>
      <c r="C89" t="str">
        <v>pcs</v>
      </c>
      <c r="D89">
        <v>2</v>
      </c>
      <c r="E89">
        <v>53.47</v>
      </c>
      <c r="F89">
        <v>106.94</v>
      </c>
      <c r="G89">
        <v>0.0000024808222919742803</v>
      </c>
      <c r="H89" t="str">
        <v/>
      </c>
      <c r="I89" t="str">
        <v>pcs</v>
      </c>
      <c r="J89">
        <v>0</v>
      </c>
      <c r="K89">
        <v>0</v>
      </c>
      <c r="L89">
        <v>0</v>
      </c>
      <c r="M89">
        <f>K89+L89</f>
        <v>0</v>
      </c>
      <c r="N89">
        <f>M89/43106674.89</f>
        <v>0</v>
      </c>
      <c r="O89" t="str">
        <v>Ongoing</v>
      </c>
    </row>
    <row r="90">
      <c r="A90" t="str">
        <v/>
      </c>
      <c r="B90" t="str">
        <v>Tee Reducer 50 x 32</v>
      </c>
      <c r="C90" t="str">
        <v>pcs</v>
      </c>
      <c r="D90">
        <v>2</v>
      </c>
      <c r="E90">
        <v>203.14999999999998</v>
      </c>
      <c r="F90">
        <v>406.29999999999995</v>
      </c>
      <c r="G90">
        <v>0.000009425454434534786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f>K90+L90</f>
        <v>0</v>
      </c>
      <c r="N90">
        <f>M90/43106674.89</f>
        <v>0</v>
      </c>
      <c r="O90" t="str">
        <v>Ongoing</v>
      </c>
    </row>
    <row r="91">
      <c r="A91" t="str">
        <v/>
      </c>
      <c r="B91" t="str">
        <v>Elbow 32mm</v>
      </c>
      <c r="C91" t="str">
        <v>pcs</v>
      </c>
      <c r="D91">
        <v>6</v>
      </c>
      <c r="E91">
        <v>43.629999999999995</v>
      </c>
      <c r="F91">
        <v>261.78</v>
      </c>
      <c r="G91">
        <v>0.00000607284140259049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f>K91+L91</f>
        <v>0</v>
      </c>
      <c r="N91">
        <f>M91/43106674.89</f>
        <v>0</v>
      </c>
      <c r="O91" t="str">
        <v>Ongoing</v>
      </c>
    </row>
    <row r="92">
      <c r="A92" t="str">
        <v/>
      </c>
      <c r="B92" t="str">
        <v>Cleanout 50mm</v>
      </c>
      <c r="C92" t="str">
        <v>pcs</v>
      </c>
      <c r="D92">
        <v>4</v>
      </c>
      <c r="E92">
        <v>213.84</v>
      </c>
      <c r="F92">
        <v>855.36</v>
      </c>
      <c r="G92">
        <v>0.00001984286661364429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f>K92+L92</f>
        <v>0</v>
      </c>
      <c r="N92">
        <f>M92/43106674.89</f>
        <v>0</v>
      </c>
      <c r="O92" t="str">
        <v>Ongoing</v>
      </c>
    </row>
    <row r="93">
      <c r="A93" t="str">
        <v/>
      </c>
      <c r="B93" t="str">
        <v>RELATED ELECTRICAL WORKS</v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>
        <v>0</v>
      </c>
      <c r="L93" t="str">
        <v/>
      </c>
      <c r="M93" t="str">
        <v/>
      </c>
      <c r="N93" t="str">
        <v/>
      </c>
      <c r="O93" t="str">
        <v/>
      </c>
    </row>
    <row r="94">
      <c r="A94" t="str">
        <v/>
      </c>
      <c r="B94" t="str">
        <v>Rough-ins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>
        <v>0</v>
      </c>
      <c r="L94" t="str">
        <v/>
      </c>
      <c r="M94" t="str">
        <v/>
      </c>
      <c r="N94" t="str">
        <v/>
      </c>
      <c r="O94" t="str">
        <v/>
      </c>
    </row>
    <row r="95">
      <c r="A95" t="str">
        <v/>
      </c>
      <c r="B95" t="str">
        <v>liquid-tight metallic flexible conduits 1-1/2"</v>
      </c>
      <c r="C95" t="str">
        <v>m</v>
      </c>
      <c r="D95">
        <v>78</v>
      </c>
      <c r="E95">
        <v>404.15</v>
      </c>
      <c r="F95">
        <v>31523.699999999997</v>
      </c>
      <c r="G95">
        <v>0.0007312950971152947</v>
      </c>
      <c r="H95" t="str">
        <v/>
      </c>
      <c r="I95" t="str">
        <v>m</v>
      </c>
      <c r="J95">
        <v>0</v>
      </c>
      <c r="K95">
        <v>0</v>
      </c>
      <c r="L95">
        <v>0</v>
      </c>
      <c r="M95">
        <f>K95+L95</f>
        <v>0</v>
      </c>
      <c r="N95">
        <f>M95/43106674.89</f>
        <v>0</v>
      </c>
      <c r="O95" t="str">
        <v>Ongoing</v>
      </c>
    </row>
    <row r="96">
      <c r="A96" t="str">
        <v/>
      </c>
      <c r="B96" t="str">
        <v>Metallic Flexible Conduit 20mm</v>
      </c>
      <c r="C96" t="str">
        <v>m</v>
      </c>
      <c r="D96">
        <v>586</v>
      </c>
      <c r="E96">
        <v>65.87</v>
      </c>
      <c r="F96">
        <v>38599.82</v>
      </c>
      <c r="G96">
        <v>0.0008954487929885419</v>
      </c>
      <c r="H96" t="str">
        <v/>
      </c>
      <c r="I96" t="str">
        <v>m</v>
      </c>
      <c r="J96">
        <v>0</v>
      </c>
      <c r="K96">
        <v>0</v>
      </c>
      <c r="L96">
        <v>0</v>
      </c>
      <c r="M96">
        <f>K96+L96</f>
        <v>0</v>
      </c>
      <c r="N96">
        <f>M96/43106674.89</f>
        <v>0</v>
      </c>
      <c r="O96" t="str">
        <v>Ongoing</v>
      </c>
    </row>
    <row r="97">
      <c r="A97" t="str">
        <v/>
      </c>
      <c r="B97" t="str">
        <v>Metallic Flexible Conduit Connector 20mm</v>
      </c>
      <c r="C97" t="str">
        <v>pcs</v>
      </c>
      <c r="D97">
        <v>29</v>
      </c>
      <c r="E97">
        <v>32.09</v>
      </c>
      <c r="F97">
        <v>930.6100000000001</v>
      </c>
      <c r="G97">
        <v>0.000021588535937293673</v>
      </c>
      <c r="H97" t="str">
        <v/>
      </c>
      <c r="I97" t="str">
        <v>pcs</v>
      </c>
      <c r="J97">
        <v>0</v>
      </c>
      <c r="K97">
        <v>0</v>
      </c>
      <c r="L97">
        <v>0</v>
      </c>
      <c r="M97">
        <f>K97+L97</f>
        <v>0</v>
      </c>
      <c r="N97">
        <f>M97/43106674.89</f>
        <v>0</v>
      </c>
      <c r="O97" t="str">
        <v>Ongoing</v>
      </c>
    </row>
    <row r="98">
      <c r="A98" t="str">
        <v/>
      </c>
      <c r="B98" t="str">
        <v>Cables / Wires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>
        <v>0</v>
      </c>
      <c r="L98" t="str">
        <v/>
      </c>
      <c r="M98">
        <f>K98+L98</f>
        <v>0</v>
      </c>
      <c r="N98">
        <f>M98/43106674.89</f>
        <v>0</v>
      </c>
      <c r="O98" t="str">
        <v/>
      </c>
    </row>
    <row r="99">
      <c r="A99" t="str">
        <v/>
      </c>
      <c r="B99" t="str">
        <v>Communication wire (PD Royal Cord 0.75mm/2C)</v>
      </c>
      <c r="C99" t="str">
        <v>m</v>
      </c>
      <c r="D99">
        <v>419</v>
      </c>
      <c r="E99">
        <v>80.84000000000002</v>
      </c>
      <c r="F99">
        <v>33871.96000000001</v>
      </c>
      <c r="G99">
        <v>0.0007857706512143367</v>
      </c>
      <c r="H99" t="str">
        <v/>
      </c>
      <c r="I99" t="str">
        <v>m</v>
      </c>
      <c r="J99">
        <v>0</v>
      </c>
      <c r="K99">
        <v>0</v>
      </c>
      <c r="L99">
        <v>0</v>
      </c>
      <c r="M99">
        <f>K99+L99</f>
        <v>0</v>
      </c>
      <c r="N99">
        <f>M99/43106674.89</f>
        <v>0</v>
      </c>
      <c r="O99" t="str">
        <v>Ongoing</v>
      </c>
    </row>
    <row r="100">
      <c r="A100" t="str">
        <v/>
      </c>
      <c r="B100" t="str">
        <v>Wire 3.5mm² THHN (5 meters per Unit)</v>
      </c>
      <c r="C100" t="str">
        <v>m</v>
      </c>
      <c r="D100">
        <v>71</v>
      </c>
      <c r="E100">
        <v>78.48000000000002</v>
      </c>
      <c r="F100">
        <v>5572.080000000002</v>
      </c>
      <c r="G100">
        <v>0.00012926257973315926</v>
      </c>
      <c r="H100" t="str">
        <v/>
      </c>
      <c r="I100" t="str">
        <v>m</v>
      </c>
      <c r="J100">
        <v>0</v>
      </c>
      <c r="K100">
        <v>0</v>
      </c>
      <c r="L100">
        <v>0</v>
      </c>
      <c r="M100">
        <f>K100+L100</f>
        <v>0</v>
      </c>
      <c r="N100">
        <f>M100/43106674.89</f>
        <v>0</v>
      </c>
      <c r="O100" t="str">
        <v>Ongoing</v>
      </c>
    </row>
    <row r="101">
      <c r="A101" t="str">
        <v/>
      </c>
      <c r="B101" t="str">
        <v>Wire 5.5mm² THHN (5 meters per Unit)</v>
      </c>
      <c r="C101" t="str">
        <v>m</v>
      </c>
      <c r="D101">
        <v>26</v>
      </c>
      <c r="E101">
        <v>120.11</v>
      </c>
      <c r="F101">
        <v>3122.86</v>
      </c>
      <c r="G101">
        <v>0.00007244492895749768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f>K101+L101</f>
        <v>0</v>
      </c>
      <c r="N101">
        <f>M101/43106674.89</f>
        <v>0</v>
      </c>
      <c r="O101" t="str">
        <v>Ongoing</v>
      </c>
    </row>
    <row r="102">
      <c r="A102" t="str">
        <v/>
      </c>
      <c r="B102" t="str">
        <v>Wire 30.0mm² THHN (5 meters per Unit)</v>
      </c>
      <c r="C102" t="str">
        <v>m</v>
      </c>
      <c r="D102">
        <v>59</v>
      </c>
      <c r="E102">
        <v>790.33</v>
      </c>
      <c r="F102">
        <v>46629.47</v>
      </c>
      <c r="G102">
        <v>0.0010817227289970633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f>K102+L102</f>
        <v>0</v>
      </c>
      <c r="N102">
        <f>M102/43106674.89</f>
        <v>0</v>
      </c>
      <c r="O102" t="str">
        <v>Ongoing</v>
      </c>
    </row>
    <row r="103">
      <c r="A103" t="str">
        <v/>
      </c>
      <c r="B103" t="str">
        <v>for ground: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>
        <v>0</v>
      </c>
      <c r="L103" t="str">
        <v/>
      </c>
      <c r="M103">
        <f>K103+L103</f>
        <v>0</v>
      </c>
      <c r="N103">
        <f>M103/43106674.89</f>
        <v>0</v>
      </c>
      <c r="O103" t="str">
        <v/>
      </c>
    </row>
    <row r="104">
      <c r="A104" t="str">
        <v/>
      </c>
      <c r="B104" t="str">
        <v>Wire 3.5mm² THHN (G) (5 meters per Unit)</v>
      </c>
      <c r="C104" t="str">
        <v>m</v>
      </c>
      <c r="D104">
        <v>72</v>
      </c>
      <c r="E104">
        <v>78.48000000000002</v>
      </c>
      <c r="F104">
        <v>5650.560000000001</v>
      </c>
      <c r="G104">
        <v>0.0001310831794477108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>Ongoing</v>
      </c>
    </row>
    <row r="105">
      <c r="A105" t="str">
        <v/>
      </c>
      <c r="B105" t="str">
        <v>Wire 8.0mm² THHN (G) (5 meters per Unit)</v>
      </c>
      <c r="C105" t="str">
        <v>m</v>
      </c>
      <c r="D105">
        <v>20</v>
      </c>
      <c r="E105">
        <v>187.88</v>
      </c>
      <c r="F105">
        <v>3757.6</v>
      </c>
      <c r="G105">
        <v>0.00008716979469162666</v>
      </c>
      <c r="H105" t="str">
        <v/>
      </c>
      <c r="I105" t="str">
        <v>m</v>
      </c>
      <c r="J105">
        <v>0</v>
      </c>
      <c r="K105">
        <v>0</v>
      </c>
      <c r="L105">
        <v>0</v>
      </c>
      <c r="M105">
        <f>K105+L105</f>
        <v>0</v>
      </c>
      <c r="N105">
        <f>M105/43106674.89</f>
        <v>0</v>
      </c>
      <c r="O105" t="str">
        <v>Ongoing</v>
      </c>
    </row>
    <row r="106">
      <c r="A106" t="str">
        <v>I-B.</v>
      </c>
      <c r="B106" t="str">
        <v>CONSUMABLES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>
        <v>0</v>
      </c>
      <c r="L106" t="str">
        <v/>
      </c>
      <c r="M106" t="str">
        <v/>
      </c>
      <c r="N106" t="str">
        <v/>
      </c>
      <c r="O106" t="str">
        <v/>
      </c>
    </row>
    <row r="107">
      <c r="A107" t="str">
        <v/>
      </c>
      <c r="B107" t="str">
        <v>Vibration Isolator</v>
      </c>
      <c r="C107" t="str">
        <v>pcs</v>
      </c>
      <c r="D107">
        <v>20</v>
      </c>
      <c r="E107">
        <v>1389.91</v>
      </c>
      <c r="F107">
        <v>27798.2</v>
      </c>
      <c r="G107">
        <v>0.0006448699666800023</v>
      </c>
      <c r="H107" t="str">
        <v/>
      </c>
      <c r="I107" t="str">
        <v>pcs</v>
      </c>
      <c r="J107">
        <v>0</v>
      </c>
      <c r="K107">
        <v>0</v>
      </c>
      <c r="L107">
        <v>0</v>
      </c>
      <c r="M107">
        <f>K107+L107</f>
        <v>0</v>
      </c>
      <c r="N107">
        <f>M107/43106674.89</f>
        <v>0</v>
      </c>
      <c r="O107" t="str">
        <v>Ongoing</v>
      </c>
    </row>
    <row r="108">
      <c r="A108" t="str">
        <v/>
      </c>
      <c r="B108" t="str">
        <v>Angle Bar, 2x2x 1/4 (6 meters)</v>
      </c>
      <c r="C108" t="str">
        <v>length/s</v>
      </c>
      <c r="D108">
        <v>7</v>
      </c>
      <c r="E108">
        <v>2523.2200000000003</v>
      </c>
      <c r="F108">
        <v>17662.54</v>
      </c>
      <c r="G108">
        <v>0.00040974025589010106</v>
      </c>
      <c r="H108" t="str">
        <v/>
      </c>
      <c r="I108" t="str">
        <v>length/s</v>
      </c>
      <c r="J108">
        <v>0</v>
      </c>
      <c r="K108">
        <v>0</v>
      </c>
      <c r="L108">
        <v>0</v>
      </c>
      <c r="M108">
        <v>0</v>
      </c>
      <c r="N108">
        <v>0</v>
      </c>
      <c r="O108" t="str">
        <v>Ongoing</v>
      </c>
    </row>
    <row r="109">
      <c r="A109" t="str">
        <v/>
      </c>
      <c r="B109" t="str">
        <v>Rugby</v>
      </c>
      <c r="C109" t="str">
        <v>bottle</v>
      </c>
      <c r="D109">
        <v>21</v>
      </c>
      <c r="E109">
        <v>277.99000000000007</v>
      </c>
      <c r="F109">
        <v>5837.790000000002</v>
      </c>
      <c r="G109">
        <v>0.00013542659031105797</v>
      </c>
      <c r="H109" t="str">
        <v/>
      </c>
      <c r="I109" t="str">
        <v>bottle</v>
      </c>
      <c r="J109">
        <v>0</v>
      </c>
      <c r="K109">
        <v>0</v>
      </c>
      <c r="L109">
        <v>0</v>
      </c>
      <c r="M109">
        <f>K109+L109</f>
        <v>0</v>
      </c>
      <c r="N109">
        <f>M109/43106674.89</f>
        <v>0</v>
      </c>
      <c r="O109" t="str">
        <v>Ongoing</v>
      </c>
    </row>
    <row r="110">
      <c r="A110" t="str">
        <v/>
      </c>
      <c r="B110" t="str">
        <v>White Tape</v>
      </c>
      <c r="C110" t="str">
        <v>rolls</v>
      </c>
      <c r="D110">
        <v>42</v>
      </c>
      <c r="E110">
        <v>374.21999999999997</v>
      </c>
      <c r="F110">
        <v>15717.239999999998</v>
      </c>
      <c r="G110">
        <v>0.0003646126740257138</v>
      </c>
      <c r="H110" t="str">
        <v/>
      </c>
      <c r="I110" t="str">
        <v>rolls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>Ongoing</v>
      </c>
    </row>
    <row r="111">
      <c r="A111" t="str">
        <v/>
      </c>
      <c r="B111" t="str">
        <v>Threaded rod 3/8 (6 meters)</v>
      </c>
      <c r="C111" t="str">
        <v>length/s</v>
      </c>
      <c r="D111">
        <v>94</v>
      </c>
      <c r="E111">
        <v>171.07000000000002</v>
      </c>
      <c r="F111">
        <v>16080.580000000002</v>
      </c>
      <c r="G111">
        <v>0.0003730415310629865</v>
      </c>
      <c r="H111" t="str">
        <v/>
      </c>
      <c r="I111" t="str">
        <v>length/s</v>
      </c>
      <c r="J111">
        <v>0</v>
      </c>
      <c r="K111">
        <v>0</v>
      </c>
      <c r="L111">
        <v>0</v>
      </c>
      <c r="M111">
        <f>K111+L111</f>
        <v>0</v>
      </c>
      <c r="N111">
        <f>M111/43106674.89</f>
        <v>0</v>
      </c>
      <c r="O111" t="str">
        <v>Ongoing</v>
      </c>
    </row>
    <row r="112">
      <c r="A112" t="str">
        <v/>
      </c>
      <c r="B112" t="str">
        <v>Nuts and washer 3/8</v>
      </c>
      <c r="C112" t="str">
        <v>pcs</v>
      </c>
      <c r="D112">
        <v>32</v>
      </c>
      <c r="E112">
        <v>21.39</v>
      </c>
      <c r="F112">
        <v>684.48</v>
      </c>
      <c r="G112">
        <v>0.000015878747357495374</v>
      </c>
      <c r="H112" t="str">
        <v/>
      </c>
      <c r="I112" t="str">
        <v>pcs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>Ongoing</v>
      </c>
    </row>
    <row r="113">
      <c r="A113" t="str">
        <v/>
      </c>
      <c r="B113" t="str">
        <v>Grip Anchor 3/8</v>
      </c>
      <c r="C113" t="str">
        <v>pcs</v>
      </c>
      <c r="D113">
        <v>32</v>
      </c>
      <c r="E113">
        <v>10.699999999999998</v>
      </c>
      <c r="F113">
        <v>342.3999999999999</v>
      </c>
      <c r="G113">
        <v>0.000007943085400897639</v>
      </c>
      <c r="H113" t="str">
        <v/>
      </c>
      <c r="I113" t="str">
        <v>pcs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>Ongoing</v>
      </c>
    </row>
    <row r="114">
      <c r="A114" t="str">
        <v/>
      </c>
      <c r="B114" t="str">
        <v>Paint (Red Oxide)</v>
      </c>
      <c r="C114" t="str">
        <v>gallon</v>
      </c>
      <c r="D114">
        <v>1</v>
      </c>
      <c r="E114">
        <v>3432</v>
      </c>
      <c r="F114">
        <v>3432</v>
      </c>
      <c r="G114">
        <v>0.000079616440116474</v>
      </c>
      <c r="H114" t="str">
        <v/>
      </c>
      <c r="I114" t="str">
        <v>gallon</v>
      </c>
      <c r="J114">
        <v>0</v>
      </c>
      <c r="K114">
        <v>0</v>
      </c>
      <c r="L114">
        <v>0</v>
      </c>
      <c r="M114">
        <f>K114+L114</f>
        <v>0</v>
      </c>
      <c r="N114">
        <f>M114/43106674.89</f>
        <v>0</v>
      </c>
      <c r="O114" t="str">
        <v>Ongoing</v>
      </c>
    </row>
    <row r="115">
      <c r="A115" t="str">
        <v/>
      </c>
      <c r="B115" t="str">
        <v>Loop Hangers</v>
      </c>
      <c r="C115" t="str">
        <v>pcs</v>
      </c>
      <c r="D115">
        <v>351</v>
      </c>
      <c r="E115">
        <v>42.78000000000001</v>
      </c>
      <c r="F115">
        <v>15015.780000000002</v>
      </c>
      <c r="G115">
        <v>0.00034834002015505486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f>K115+L115</f>
        <v>0</v>
      </c>
      <c r="N115">
        <f>M115/43106674.89</f>
        <v>0</v>
      </c>
      <c r="O115" t="str">
        <v>Ongoing</v>
      </c>
    </row>
    <row r="116">
      <c r="A116" t="str">
        <v/>
      </c>
      <c r="B116" t="str">
        <v>Freon</v>
      </c>
      <c r="C116" t="str">
        <v>tank</v>
      </c>
      <c r="D116">
        <v>6</v>
      </c>
      <c r="E116">
        <v>14497.769999999999</v>
      </c>
      <c r="F116">
        <v>86986.62</v>
      </c>
      <c r="G116">
        <v>0.0020179385262717015</v>
      </c>
      <c r="H116" t="str">
        <v/>
      </c>
      <c r="I116" t="str">
        <v>tank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>Ongoing</v>
      </c>
    </row>
    <row r="117">
      <c r="A117" t="str">
        <v/>
      </c>
      <c r="B117" t="str">
        <v>Nitrogen</v>
      </c>
      <c r="C117" t="str">
        <v>tank</v>
      </c>
      <c r="D117">
        <v>3</v>
      </c>
      <c r="E117">
        <v>18175.66</v>
      </c>
      <c r="F117">
        <v>54526.979999999996</v>
      </c>
      <c r="G117">
        <v>0.001264931246474993</v>
      </c>
      <c r="H117" t="str">
        <v/>
      </c>
      <c r="I117" t="str">
        <v>tank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>Ongoing</v>
      </c>
    </row>
    <row r="118">
      <c r="A118" t="str">
        <v/>
      </c>
      <c r="B118" t="str">
        <v>Mapp Gas</v>
      </c>
      <c r="C118" t="str">
        <v>tank</v>
      </c>
      <c r="D118">
        <v>11</v>
      </c>
      <c r="E118">
        <v>855.3299999999999</v>
      </c>
      <c r="F118">
        <v>9408.63</v>
      </c>
      <c r="G118">
        <v>0.0002182638773231529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f>K118+L118</f>
        <v>0</v>
      </c>
      <c r="N118">
        <f>M118/43106674.89</f>
        <v>0</v>
      </c>
      <c r="O118" t="str">
        <v>Ongoing</v>
      </c>
    </row>
    <row r="119">
      <c r="A119" t="str">
        <v/>
      </c>
      <c r="B119" t="str">
        <v>Silver Rod</v>
      </c>
      <c r="C119" t="str">
        <v>pcs</v>
      </c>
      <c r="D119">
        <v>141</v>
      </c>
      <c r="E119">
        <v>53.470000000000006</v>
      </c>
      <c r="F119">
        <v>7539.27</v>
      </c>
      <c r="G119">
        <v>0.00017489797158418678</v>
      </c>
      <c r="H119" t="str">
        <v/>
      </c>
      <c r="I119" t="str">
        <v>pcs</v>
      </c>
      <c r="J119">
        <v>0</v>
      </c>
      <c r="K119">
        <v>0</v>
      </c>
      <c r="L119">
        <v>0</v>
      </c>
      <c r="M119">
        <f>K119+L119</f>
        <v>0</v>
      </c>
      <c r="N119">
        <f>M119/43106674.89</f>
        <v>0</v>
      </c>
      <c r="O119" t="str">
        <v>Ongoing</v>
      </c>
    </row>
    <row r="120">
      <c r="A120" t="str">
        <v/>
      </c>
      <c r="B120" t="str">
        <v>Paint Brush</v>
      </c>
      <c r="C120" t="str">
        <v>pcs</v>
      </c>
      <c r="D120">
        <v>1</v>
      </c>
      <c r="E120">
        <v>213.84</v>
      </c>
      <c r="F120">
        <v>213.84</v>
      </c>
      <c r="G120">
        <v>0.000004960716653411073</v>
      </c>
      <c r="H120" t="str">
        <v/>
      </c>
      <c r="I120" t="str">
        <v>pcs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>Ongoing</v>
      </c>
    </row>
    <row r="121">
      <c r="A121" t="str">
        <v>I-C.</v>
      </c>
      <c r="B121" t="str">
        <v>CHIPPING &amp; RESTORATION (ROUGH-ONLY)</v>
      </c>
      <c r="C121" t="str">
        <v>lot</v>
      </c>
      <c r="D121">
        <v>1</v>
      </c>
      <c r="E121">
        <v>737348.8400000002</v>
      </c>
      <c r="F121">
        <v>737348.8400000002</v>
      </c>
      <c r="G121">
        <v>0.017105212635434613</v>
      </c>
      <c r="H121">
        <v>1</v>
      </c>
      <c r="I121" t="str">
        <v>lot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>Ongoing</v>
      </c>
    </row>
    <row r="122">
      <c r="A122" t="str">
        <v>I-D.</v>
      </c>
      <c r="B122" t="str">
        <v>MISCELLANEOUS</v>
      </c>
      <c r="C122" t="str">
        <v>lot</v>
      </c>
      <c r="D122">
        <v>1</v>
      </c>
      <c r="E122">
        <v>5684.06</v>
      </c>
      <c r="F122">
        <v>5684.06</v>
      </c>
      <c r="G122">
        <v>0.000131860321272857</v>
      </c>
      <c r="H122">
        <v>1</v>
      </c>
      <c r="I122" t="str">
        <v>lot</v>
      </c>
      <c r="J122">
        <v>0</v>
      </c>
      <c r="K122">
        <v>0</v>
      </c>
      <c r="L122">
        <v>0</v>
      </c>
      <c r="M122">
        <f>K122+L122</f>
        <v>0</v>
      </c>
      <c r="N122">
        <f>M122/43106674.89</f>
        <v>0</v>
      </c>
      <c r="O122" t="str">
        <v>Ongoing</v>
      </c>
    </row>
    <row r="123">
      <c r="A123" t="str">
        <v>I-E.</v>
      </c>
      <c r="B123" t="str">
        <v>TESTING &amp; COMMISSIONING</v>
      </c>
      <c r="C123" t="str">
        <v>lot</v>
      </c>
      <c r="D123">
        <v>1</v>
      </c>
      <c r="E123">
        <v>41291.54</v>
      </c>
      <c r="F123">
        <v>41291.54</v>
      </c>
      <c r="G123">
        <v>0.0009578920226477247</v>
      </c>
      <c r="H123">
        <v>1</v>
      </c>
      <c r="I123" t="str">
        <v>lot</v>
      </c>
      <c r="J123">
        <v>0</v>
      </c>
      <c r="K123">
        <v>0</v>
      </c>
      <c r="L123">
        <v>0</v>
      </c>
      <c r="M123">
        <v>0</v>
      </c>
      <c r="N123">
        <v>0</v>
      </c>
      <c r="O123" t="str">
        <v>Ongoing</v>
      </c>
    </row>
    <row r="124">
      <c r="A124" t="str">
        <v>II.A</v>
      </c>
      <c r="B124" t="str">
        <v>AIR CONDITIONING- VRV SYSTEM B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>
        <v>0</v>
      </c>
      <c r="L124" t="str">
        <v/>
      </c>
      <c r="M124" t="str">
        <v/>
      </c>
      <c r="N124" t="str">
        <v/>
      </c>
      <c r="O124" t="str">
        <v/>
      </c>
    </row>
    <row r="125">
      <c r="A125" t="str">
        <v/>
      </c>
      <c r="B125" t="str">
        <v>ACCU-  Model: RXQ18BYM</v>
      </c>
      <c r="C125" t="str">
        <v>units</v>
      </c>
      <c r="D125">
        <v>3</v>
      </c>
      <c r="E125">
        <v>741057.71</v>
      </c>
      <c r="F125">
        <v>2223173.13</v>
      </c>
      <c r="G125">
        <v>0.05157375593624682</v>
      </c>
      <c r="H125" t="str">
        <v/>
      </c>
      <c r="I125" t="str">
        <v>units</v>
      </c>
      <c r="J125">
        <v>0</v>
      </c>
      <c r="K125">
        <v>0</v>
      </c>
      <c r="L125">
        <v>0</v>
      </c>
      <c r="M125">
        <f>K125+L125</f>
        <v>0</v>
      </c>
      <c r="N125">
        <f>M125/43106674.89</f>
        <v>0</v>
      </c>
      <c r="O125" t="str">
        <v>Ongoing</v>
      </c>
    </row>
    <row r="126">
      <c r="A126" t="str">
        <v/>
      </c>
      <c r="B126" t="str">
        <v>FCU- 2 HP Wall Mounted VRF B (OR No. 1 and 3,  OR No. 1 Miyake Eye (2), OR No. 2 NSS(2), OR No. 3 Euro-open (2), OR No. 8 Ortho, NSS/ Pay, Storage Room, OR Complex Conference Room) Model: FXAQ50BVM</v>
      </c>
      <c r="C126" t="str">
        <v>units</v>
      </c>
      <c r="D126">
        <v>10</v>
      </c>
      <c r="E126">
        <v>55087.340000000004</v>
      </c>
      <c r="F126">
        <v>550873.4</v>
      </c>
      <c r="G126">
        <v>0.01277930625374663</v>
      </c>
      <c r="H126" t="str">
        <v/>
      </c>
      <c r="I126" t="str">
        <v>units</v>
      </c>
      <c r="J126">
        <v>0</v>
      </c>
      <c r="K126">
        <v>0</v>
      </c>
      <c r="L126">
        <v>0</v>
      </c>
      <c r="M126">
        <f>K126+L126</f>
        <v>0</v>
      </c>
      <c r="N126">
        <f>M126/43106674.89</f>
        <v>0</v>
      </c>
      <c r="O126" t="str">
        <v>Ongoing</v>
      </c>
    </row>
    <row r="127">
      <c r="A127" t="str">
        <v/>
      </c>
      <c r="B127" t="str">
        <v>FCU- 2.5HP Wall Mounted VRF B ( OR no. 4, 6, 13, 14, 15, OR Pharmacy) Model: FXAQ63BVM</v>
      </c>
      <c r="C127" t="str">
        <v>units</v>
      </c>
      <c r="D127">
        <v>2</v>
      </c>
      <c r="E127">
        <v>56222.86</v>
      </c>
      <c r="F127">
        <v>112445.72</v>
      </c>
      <c r="G127">
        <v>0.0026085454349457473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f>K127+L127</f>
        <v>0</v>
      </c>
      <c r="N127">
        <f>M127/43106674.89</f>
        <v>0</v>
      </c>
      <c r="O127" t="str">
        <v>Ongoing</v>
      </c>
    </row>
    <row r="128">
      <c r="A128" t="str">
        <v/>
      </c>
      <c r="B128" t="str">
        <v>FCU- 6HP ceiling Cassette VRF B (Corridor near OR No. 2 NSS, Corridor Near Supply Room) Model: FXFQ140AVM</v>
      </c>
      <c r="C128" t="str">
        <v>units</v>
      </c>
      <c r="D128">
        <v>1</v>
      </c>
      <c r="E128">
        <v>87530.69</v>
      </c>
      <c r="F128">
        <v>87530.69</v>
      </c>
      <c r="G128">
        <v>0.0020305600054599795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f>K128+L128</f>
        <v>0</v>
      </c>
      <c r="N128">
        <f>M128/43106674.89</f>
        <v>0</v>
      </c>
      <c r="O128" t="str">
        <v>Ongoing</v>
      </c>
    </row>
    <row r="129">
      <c r="A129" t="str">
        <v/>
      </c>
      <c r="B129" t="str">
        <v>Accessories: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>
        <f>K129+L129</f>
        <v>0</v>
      </c>
      <c r="N129">
        <f>M129/43106674.89</f>
        <v>0</v>
      </c>
      <c r="O129" t="str">
        <v/>
      </c>
    </row>
    <row r="130">
      <c r="A130" t="str">
        <v/>
      </c>
      <c r="B130" t="str">
        <v>Wired Remote Controller Model: BRC1E63</v>
      </c>
      <c r="C130" t="str">
        <v>units</v>
      </c>
      <c r="D130">
        <v>13</v>
      </c>
      <c r="E130">
        <v>11760.720000000001</v>
      </c>
      <c r="F130">
        <v>152889.36000000002</v>
      </c>
      <c r="G130">
        <v>0.003546767650025069</v>
      </c>
      <c r="H130" t="str">
        <v/>
      </c>
      <c r="I130" t="str">
        <v>units</v>
      </c>
      <c r="J130" t="str">
        <v/>
      </c>
      <c r="K130">
        <v>0</v>
      </c>
      <c r="L130">
        <v>0</v>
      </c>
      <c r="M130">
        <v>0</v>
      </c>
      <c r="N130">
        <v>0</v>
      </c>
      <c r="O130" t="str">
        <v>Ongoing</v>
      </c>
    </row>
    <row r="131">
      <c r="A131" t="str">
        <v/>
      </c>
      <c r="B131" t="str">
        <v>Standard panel(Fresh white) Model: BYCQ125EAF</v>
      </c>
      <c r="C131" t="str">
        <v>units</v>
      </c>
      <c r="D131">
        <v>1</v>
      </c>
      <c r="E131">
        <v>22345.370000000003</v>
      </c>
      <c r="F131">
        <v>22345.370000000003</v>
      </c>
      <c r="G131">
        <v>0.0005183737798617293</v>
      </c>
      <c r="H131" t="str">
        <v/>
      </c>
      <c r="I131" t="str">
        <v>units</v>
      </c>
      <c r="J131">
        <v>0</v>
      </c>
      <c r="K131">
        <v>0</v>
      </c>
      <c r="L131">
        <v>0</v>
      </c>
      <c r="M131">
        <v>0</v>
      </c>
      <c r="N131">
        <v>0</v>
      </c>
      <c r="O131" t="str">
        <v>Ongoing</v>
      </c>
    </row>
    <row r="132">
      <c r="A132" t="str">
        <v/>
      </c>
      <c r="B132" t="str">
        <v>Refnet Joints Model: KHRP26A22T</v>
      </c>
      <c r="C132" t="str">
        <v>units</v>
      </c>
      <c r="D132">
        <v>6</v>
      </c>
      <c r="E132">
        <v>4351.47</v>
      </c>
      <c r="F132">
        <v>26108.82</v>
      </c>
      <c r="G132">
        <v>0.0006056792843944635</v>
      </c>
      <c r="H132" t="str">
        <v/>
      </c>
      <c r="I132" t="str">
        <v>units</v>
      </c>
      <c r="J132">
        <v>0</v>
      </c>
      <c r="K132">
        <v>0</v>
      </c>
      <c r="L132">
        <v>0</v>
      </c>
      <c r="M132">
        <v>0</v>
      </c>
      <c r="N132">
        <v>0</v>
      </c>
      <c r="O132" t="str">
        <v>Ongoing</v>
      </c>
    </row>
    <row r="133">
      <c r="A133" t="str">
        <v/>
      </c>
      <c r="B133" t="str">
        <v>Refnet Joints Model: KHRP26A33T</v>
      </c>
      <c r="C133" t="str">
        <v>units</v>
      </c>
      <c r="D133">
        <v>1</v>
      </c>
      <c r="E133">
        <v>4939.510000000001</v>
      </c>
      <c r="F133">
        <v>4939.510000000001</v>
      </c>
      <c r="G133">
        <v>0.00011458805423068899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f>K133+L133</f>
        <v>0</v>
      </c>
      <c r="N133">
        <f>M133/43106674.89</f>
        <v>0</v>
      </c>
      <c r="O133" t="str">
        <v>Ongoing</v>
      </c>
    </row>
    <row r="134">
      <c r="A134" t="str">
        <v/>
      </c>
      <c r="B134" t="str">
        <v>Refnet Joints Model: KHRP26A72T</v>
      </c>
      <c r="C134" t="str">
        <v>units</v>
      </c>
      <c r="D134">
        <v>3</v>
      </c>
      <c r="E134">
        <v>8232.51</v>
      </c>
      <c r="F134">
        <v>24697.53</v>
      </c>
      <c r="G134">
        <v>0.0005729398071881761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f>K134+L134</f>
        <v>0</v>
      </c>
      <c r="N134">
        <f>M134/43106674.89</f>
        <v>0</v>
      </c>
      <c r="O134" t="str">
        <v>Ongoing</v>
      </c>
    </row>
    <row r="135">
      <c r="A135" t="str">
        <v/>
      </c>
      <c r="B135" t="str">
        <v xml:space="preserve">Refnet Joints Model: KHRP26A73T </v>
      </c>
      <c r="C135" t="str">
        <v>units</v>
      </c>
      <c r="D135">
        <v>2</v>
      </c>
      <c r="E135">
        <v>14112.869999999999</v>
      </c>
      <c r="F135">
        <v>28225.739999999998</v>
      </c>
      <c r="G135">
        <v>0.0006547881522299432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f>K135+L135</f>
        <v>0</v>
      </c>
      <c r="N135">
        <f>M135/43106674.89</f>
        <v>0</v>
      </c>
      <c r="O135" t="str">
        <v>Ongoing</v>
      </c>
    </row>
    <row r="136">
      <c r="A136" t="str">
        <v/>
      </c>
      <c r="B136" t="str">
        <v>Pipe Size Reducer Model: KHRP26M73TP</v>
      </c>
      <c r="C136" t="str">
        <v>units</v>
      </c>
      <c r="D136">
        <v>2</v>
      </c>
      <c r="E136">
        <v>5997.97</v>
      </c>
      <c r="F136">
        <v>11995.94</v>
      </c>
      <c r="G136">
        <v>0.0002782849762968576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>Ongoing</v>
      </c>
    </row>
    <row r="137">
      <c r="A137" t="str">
        <v/>
      </c>
      <c r="B137" t="str">
        <v>VRV Multi Con piping kit Model: BHFP22R168-7</v>
      </c>
      <c r="C137" t="str">
        <v>units</v>
      </c>
      <c r="D137">
        <v>1</v>
      </c>
      <c r="E137">
        <v>39751.22</v>
      </c>
      <c r="F137">
        <v>39751.22</v>
      </c>
      <c r="G137">
        <v>0.0009221592735101353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f>K137+L137</f>
        <v>0</v>
      </c>
      <c r="N137">
        <f>M137/43106674.89</f>
        <v>0</v>
      </c>
      <c r="O137" t="str">
        <v>Ongoing</v>
      </c>
    </row>
    <row r="138">
      <c r="A138" t="str">
        <v/>
      </c>
      <c r="B138" t="str">
        <v xml:space="preserve">Copper Pipes - Type L Hard Drawn Pipes </v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>
        <v>0</v>
      </c>
      <c r="L138" t="str">
        <v/>
      </c>
      <c r="M138">
        <f>K138+L138</f>
        <v>0</v>
      </c>
      <c r="N138">
        <f>M138/43106674.89</f>
        <v>0</v>
      </c>
      <c r="O138" t="str">
        <v/>
      </c>
    </row>
    <row r="139">
      <c r="A139" t="str">
        <v/>
      </c>
      <c r="B139" t="str">
        <v>1/4"</v>
      </c>
      <c r="C139" t="str">
        <v>length/s</v>
      </c>
      <c r="D139">
        <v>14</v>
      </c>
      <c r="E139">
        <v>2120.3300000000004</v>
      </c>
      <c r="F139">
        <v>29684.620000000006</v>
      </c>
      <c r="G139">
        <v>0.0006886316347932072</v>
      </c>
      <c r="H139" t="str">
        <v/>
      </c>
      <c r="I139" t="str">
        <v>length/s</v>
      </c>
      <c r="J139">
        <v>0</v>
      </c>
      <c r="K139">
        <v>0</v>
      </c>
      <c r="L139">
        <v>0</v>
      </c>
      <c r="M139">
        <f>K139+L139</f>
        <v>0</v>
      </c>
      <c r="N139">
        <f>M139/43106674.89</f>
        <v>0</v>
      </c>
      <c r="O139" t="str">
        <v>Ongoing</v>
      </c>
    </row>
    <row r="140">
      <c r="A140" t="str">
        <v/>
      </c>
      <c r="B140" t="str">
        <v>3/8"</v>
      </c>
      <c r="C140" t="str">
        <v>length/s</v>
      </c>
      <c r="D140">
        <v>11</v>
      </c>
      <c r="E140">
        <v>2952.3500000000004</v>
      </c>
      <c r="F140">
        <v>32475.850000000006</v>
      </c>
      <c r="G140">
        <v>0.000753383323647026</v>
      </c>
      <c r="H140" t="str">
        <v/>
      </c>
      <c r="I140" t="str">
        <v>length/s</v>
      </c>
      <c r="J140">
        <v>0</v>
      </c>
      <c r="K140">
        <v>0</v>
      </c>
      <c r="L140">
        <v>0</v>
      </c>
      <c r="M140">
        <f>K140+L140</f>
        <v>0</v>
      </c>
      <c r="N140">
        <f>M140/43106674.89</f>
        <v>0</v>
      </c>
      <c r="O140" t="str">
        <v>Ongoing</v>
      </c>
    </row>
    <row r="141">
      <c r="A141" t="str">
        <v/>
      </c>
      <c r="B141" t="str">
        <v>1/2"</v>
      </c>
      <c r="C141" t="str">
        <v>length/s</v>
      </c>
      <c r="D141">
        <v>15</v>
      </c>
      <c r="E141">
        <v>4696.92</v>
      </c>
      <c r="F141">
        <v>70453.8</v>
      </c>
      <c r="G141">
        <v>0.0016344058125518754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>Ongoing</v>
      </c>
    </row>
    <row r="142">
      <c r="A142" t="str">
        <v/>
      </c>
      <c r="B142" t="str">
        <v>5/8"</v>
      </c>
      <c r="C142" t="str">
        <v>length/s</v>
      </c>
      <c r="D142">
        <v>12</v>
      </c>
      <c r="E142">
        <v>6775.95</v>
      </c>
      <c r="F142">
        <v>81311.4</v>
      </c>
      <c r="G142">
        <v>0.0018862832776476294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f>K142+L142</f>
        <v>0</v>
      </c>
      <c r="N142">
        <f>M142/43106674.89</f>
        <v>0</v>
      </c>
      <c r="O142" t="str">
        <v>Ongoing</v>
      </c>
    </row>
    <row r="143">
      <c r="A143" t="str">
        <v/>
      </c>
      <c r="B143" t="str">
        <v>3/4"</v>
      </c>
      <c r="C143" t="str">
        <v>length/s</v>
      </c>
      <c r="D143">
        <v>13</v>
      </c>
      <c r="E143">
        <v>8642.33</v>
      </c>
      <c r="F143">
        <v>112350.29</v>
      </c>
      <c r="G143">
        <v>0.002606331624665935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f>K143+L143</f>
        <v>0</v>
      </c>
      <c r="N143">
        <f>M143/43106674.89</f>
        <v>0</v>
      </c>
      <c r="O143" t="str">
        <v>Ongoing</v>
      </c>
    </row>
    <row r="144">
      <c r="A144" t="str">
        <v/>
      </c>
      <c r="B144" t="str">
        <v>7/8"</v>
      </c>
      <c r="C144" t="str">
        <v>length/s</v>
      </c>
      <c r="D144">
        <v>1</v>
      </c>
      <c r="E144">
        <v>10870.01</v>
      </c>
      <c r="F144">
        <v>10870.01</v>
      </c>
      <c r="G144">
        <v>0.0002521653555450098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>Ongoing</v>
      </c>
    </row>
    <row r="145">
      <c r="A145" t="str">
        <v/>
      </c>
      <c r="B145" t="str">
        <v>1-1/8"</v>
      </c>
      <c r="C145" t="str">
        <v>length/s</v>
      </c>
      <c r="D145">
        <v>5</v>
      </c>
      <c r="E145">
        <v>15566.920000000002</v>
      </c>
      <c r="F145">
        <v>77834.6</v>
      </c>
      <c r="G145">
        <v>0.0018056275553291693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>Ongoing</v>
      </c>
    </row>
    <row r="146">
      <c r="A146" t="str">
        <v/>
      </c>
      <c r="B146" t="str">
        <v>1-3/8"</v>
      </c>
      <c r="C146" t="str">
        <v>length/s</v>
      </c>
      <c r="D146">
        <v>1</v>
      </c>
      <c r="E146">
        <v>27039.769999999997</v>
      </c>
      <c r="F146">
        <v>27039.769999999997</v>
      </c>
      <c r="G146">
        <v>0.0006272757077413258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f>K146+L146</f>
        <v>0</v>
      </c>
      <c r="N146">
        <f>M146/43106674.89</f>
        <v>0</v>
      </c>
      <c r="O146" t="str">
        <v>Ongoing</v>
      </c>
    </row>
    <row r="147">
      <c r="A147" t="str">
        <v/>
      </c>
      <c r="B147" t="str">
        <v>1-5/8"</v>
      </c>
      <c r="C147" t="str">
        <v>length/s</v>
      </c>
      <c r="D147">
        <v>12</v>
      </c>
      <c r="E147">
        <v>27039.77</v>
      </c>
      <c r="F147">
        <v>324477.24</v>
      </c>
      <c r="G147">
        <v>0.00752730849289591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f>K147+L147</f>
        <v>0</v>
      </c>
      <c r="N147">
        <f>M147/43106674.89</f>
        <v>0</v>
      </c>
      <c r="O147" t="str">
        <v>Ongoing</v>
      </c>
    </row>
    <row r="148">
      <c r="A148" t="str">
        <v/>
      </c>
      <c r="B148" t="str">
        <v xml:space="preserve">Copper Pipes Insulation 25mm Thick </v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>
        <v>0</v>
      </c>
      <c r="L148" t="str">
        <v/>
      </c>
      <c r="M148">
        <f>K148+L148</f>
        <v>0</v>
      </c>
      <c r="N148">
        <f>M148/43106674.89</f>
        <v>0</v>
      </c>
      <c r="O148" t="str">
        <v/>
      </c>
    </row>
    <row r="149">
      <c r="A149" t="str">
        <v/>
      </c>
      <c r="B149" t="str">
        <v>1/4"</v>
      </c>
      <c r="C149" t="str">
        <v>length/s</v>
      </c>
      <c r="D149">
        <v>27</v>
      </c>
      <c r="E149">
        <v>433.57</v>
      </c>
      <c r="F149">
        <v>11706.39</v>
      </c>
      <c r="G149">
        <v>0.000271567919118616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f>K149+L149</f>
        <v>0</v>
      </c>
      <c r="N149">
        <f>M149/43106674.89</f>
        <v>0</v>
      </c>
      <c r="O149" t="str">
        <v>Ongoing</v>
      </c>
    </row>
    <row r="150">
      <c r="A150" t="str">
        <v/>
      </c>
      <c r="B150" t="str">
        <v>3/8"</v>
      </c>
      <c r="C150" t="str">
        <v>length/s</v>
      </c>
      <c r="D150">
        <v>21</v>
      </c>
      <c r="E150">
        <v>441.8299999999999</v>
      </c>
      <c r="F150">
        <v>9278.429999999998</v>
      </c>
      <c r="G150">
        <v>0.0002152434634236293</v>
      </c>
      <c r="H150" t="str">
        <v/>
      </c>
      <c r="I150" t="str">
        <v>length/s</v>
      </c>
      <c r="J150">
        <v>0</v>
      </c>
      <c r="K150">
        <v>0</v>
      </c>
      <c r="L150">
        <v>0</v>
      </c>
      <c r="M150">
        <f>K150+L150</f>
        <v>0</v>
      </c>
      <c r="N150">
        <f>M150/43106674.89</f>
        <v>0</v>
      </c>
      <c r="O150" t="str">
        <v>Ongoing</v>
      </c>
    </row>
    <row r="151">
      <c r="A151" t="str">
        <v/>
      </c>
      <c r="B151" t="str">
        <v>1/2"</v>
      </c>
      <c r="C151" t="str">
        <v>length/s</v>
      </c>
      <c r="D151">
        <v>30</v>
      </c>
      <c r="E151">
        <v>516.15</v>
      </c>
      <c r="F151">
        <v>15484.5</v>
      </c>
      <c r="G151">
        <v>0.0003592135101933397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f>K151+L151</f>
        <v>0</v>
      </c>
      <c r="N151">
        <f>M151/43106674.89</f>
        <v>0</v>
      </c>
      <c r="O151" t="str">
        <v>Ongoing</v>
      </c>
    </row>
    <row r="152">
      <c r="A152" t="str">
        <v/>
      </c>
      <c r="B152" t="str">
        <v>5/8"</v>
      </c>
      <c r="C152" t="str">
        <v>length/s</v>
      </c>
      <c r="D152">
        <v>24</v>
      </c>
      <c r="E152">
        <v>629.71</v>
      </c>
      <c r="F152">
        <v>15113.04</v>
      </c>
      <c r="G152">
        <v>0.000350596283256957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f>K152+L152</f>
        <v>0</v>
      </c>
      <c r="N152">
        <f>M152/43106674.89</f>
        <v>0</v>
      </c>
      <c r="O152" t="str">
        <v>Ongoing</v>
      </c>
    </row>
    <row r="153">
      <c r="A153" t="str">
        <v/>
      </c>
      <c r="B153" t="str">
        <v>3/4"</v>
      </c>
      <c r="C153" t="str">
        <v>length/s</v>
      </c>
      <c r="D153">
        <v>26</v>
      </c>
      <c r="E153">
        <v>708.16</v>
      </c>
      <c r="F153">
        <v>18412.16</v>
      </c>
      <c r="G153">
        <v>0.00042713013812789563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f>K153+L153</f>
        <v>0</v>
      </c>
      <c r="N153">
        <f>M153/43106674.89</f>
        <v>0</v>
      </c>
      <c r="O153" t="str">
        <v>Ongoing</v>
      </c>
    </row>
    <row r="154">
      <c r="A154" t="str">
        <v/>
      </c>
      <c r="B154" t="str">
        <v>7/8"</v>
      </c>
      <c r="C154" t="str">
        <v>length/s</v>
      </c>
      <c r="D154">
        <v>2</v>
      </c>
      <c r="E154">
        <v>784.55</v>
      </c>
      <c r="F154">
        <v>1569.1</v>
      </c>
      <c r="G154">
        <v>0.00003640039515931217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f>K154+L154</f>
        <v>0</v>
      </c>
      <c r="N154">
        <f>M154/43106674.89</f>
        <v>0</v>
      </c>
      <c r="O154" t="str">
        <v>Ongoing</v>
      </c>
    </row>
    <row r="155">
      <c r="A155" t="str">
        <v/>
      </c>
      <c r="B155" t="str">
        <v>1-1/8"</v>
      </c>
      <c r="C155" t="str">
        <v>length/s</v>
      </c>
      <c r="D155">
        <v>9</v>
      </c>
      <c r="E155">
        <v>846.49</v>
      </c>
      <c r="F155">
        <v>7618.41</v>
      </c>
      <c r="G155">
        <v>0.00017673388215260687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f>K155+L155</f>
        <v>0</v>
      </c>
      <c r="N155">
        <f>M155/43106674.89</f>
        <v>0</v>
      </c>
      <c r="O155" t="str">
        <v>Ongoing</v>
      </c>
    </row>
    <row r="156">
      <c r="A156" t="str">
        <v/>
      </c>
      <c r="B156" t="str">
        <v>1-3/8"</v>
      </c>
      <c r="C156" t="str">
        <v>length/s</v>
      </c>
      <c r="D156">
        <v>2</v>
      </c>
      <c r="E156">
        <v>1011.6600000000001</v>
      </c>
      <c r="F156">
        <v>2023.3200000000002</v>
      </c>
      <c r="G156">
        <v>0.000046937510377757636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f>K156+L156</f>
        <v>0</v>
      </c>
      <c r="N156">
        <f>M156/43106674.89</f>
        <v>0</v>
      </c>
      <c r="O156" t="str">
        <v>Ongoing</v>
      </c>
    </row>
    <row r="157">
      <c r="A157" t="str">
        <v/>
      </c>
      <c r="B157" t="str">
        <v>1-5/8"</v>
      </c>
      <c r="C157" t="str">
        <v>length/s</v>
      </c>
      <c r="D157">
        <v>24</v>
      </c>
      <c r="E157">
        <v>1011.66</v>
      </c>
      <c r="F157">
        <v>24279.84</v>
      </c>
      <c r="G157">
        <v>0.0005632501245330916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f>K157+L157</f>
        <v>0</v>
      </c>
      <c r="N157">
        <f>M157/43106674.89</f>
        <v>0</v>
      </c>
      <c r="O157" t="str">
        <v>Ongoing</v>
      </c>
    </row>
    <row r="158">
      <c r="A158" t="str">
        <v/>
      </c>
      <c r="B158" t="str">
        <v>Copper Pipe Fittings</v>
      </c>
      <c r="C158" t="str">
        <v>lot</v>
      </c>
      <c r="D158">
        <v>1</v>
      </c>
      <c r="E158">
        <v>87733.45999999999</v>
      </c>
      <c r="F158">
        <v>87733.45999999999</v>
      </c>
      <c r="G158">
        <v>0.0020352639173371405</v>
      </c>
      <c r="H158">
        <v>1</v>
      </c>
      <c r="I158" t="str">
        <v>lot</v>
      </c>
      <c r="J158">
        <v>0</v>
      </c>
      <c r="K158">
        <v>0</v>
      </c>
      <c r="L158">
        <v>0</v>
      </c>
      <c r="M158">
        <f>K158+L158</f>
        <v>0</v>
      </c>
      <c r="N158">
        <f>M158/43106674.89</f>
        <v>0</v>
      </c>
      <c r="O158" t="str">
        <v>Ongoing</v>
      </c>
    </row>
    <row r="159">
      <c r="A159" t="str">
        <v/>
      </c>
      <c r="B159" t="str">
        <v>Isolation Ball Valves</v>
      </c>
      <c r="C159" t="str">
        <v>pc/s</v>
      </c>
      <c r="D159">
        <v>26</v>
      </c>
      <c r="E159">
        <v>3207.48</v>
      </c>
      <c r="F159">
        <v>83394.48</v>
      </c>
      <c r="G159">
        <v>0.001934607116248394</v>
      </c>
      <c r="H159" t="str">
        <v/>
      </c>
      <c r="I159" t="str">
        <v>pc/s</v>
      </c>
      <c r="J159">
        <v>0</v>
      </c>
      <c r="K159">
        <v>0</v>
      </c>
      <c r="L159">
        <v>0</v>
      </c>
      <c r="M159">
        <f>K159+L159</f>
        <v>0</v>
      </c>
      <c r="N159">
        <f>M159/43106674.89</f>
        <v>0</v>
      </c>
      <c r="O159" t="str">
        <v>Ongoing</v>
      </c>
    </row>
    <row r="160">
      <c r="A160" t="str">
        <v/>
      </c>
      <c r="B160" t="str">
        <v>PVC Cladding Works</v>
      </c>
      <c r="C160" t="str">
        <v>lot</v>
      </c>
      <c r="D160">
        <v>1</v>
      </c>
      <c r="E160">
        <v>8234.77</v>
      </c>
      <c r="F160">
        <v>8234.77</v>
      </c>
      <c r="G160">
        <v>0.0001910323638047601</v>
      </c>
      <c r="H160">
        <v>1</v>
      </c>
      <c r="I160" t="str">
        <v>lot</v>
      </c>
      <c r="J160">
        <v>0</v>
      </c>
      <c r="K160">
        <v>0</v>
      </c>
      <c r="L160">
        <v>0</v>
      </c>
      <c r="M160">
        <v>0</v>
      </c>
      <c r="N160">
        <v>0</v>
      </c>
      <c r="O160" t="str">
        <v>Ongoing</v>
      </c>
    </row>
    <row r="161">
      <c r="A161" t="str">
        <v/>
      </c>
      <c r="B161" t="str">
        <v>Concrete Pad</v>
      </c>
      <c r="C161" t="str">
        <v>pcs</v>
      </c>
      <c r="D161">
        <v>3</v>
      </c>
      <c r="E161">
        <v>9622.41</v>
      </c>
      <c r="F161">
        <v>28867.23</v>
      </c>
      <c r="G161">
        <v>0.0006696696062422733</v>
      </c>
      <c r="H161" t="str">
        <v/>
      </c>
      <c r="I161" t="str">
        <v>pcs</v>
      </c>
      <c r="J161">
        <v>0</v>
      </c>
      <c r="K161">
        <v>0</v>
      </c>
      <c r="L161">
        <v>0</v>
      </c>
      <c r="M161">
        <f>K161+L161</f>
        <v>0</v>
      </c>
      <c r="N161">
        <f>M161/43106674.89</f>
        <v>0</v>
      </c>
      <c r="O161" t="str">
        <v>Ongoing</v>
      </c>
    </row>
    <row r="162">
      <c r="A162" t="str">
        <v/>
      </c>
      <c r="B162" t="str">
        <v>Condensate Drain Pipes</v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>
        <v>0</v>
      </c>
      <c r="L162" t="str">
        <v/>
      </c>
      <c r="M162" t="str">
        <v/>
      </c>
      <c r="N162" t="str">
        <v/>
      </c>
      <c r="O162" t="str">
        <v/>
      </c>
    </row>
    <row r="163">
      <c r="A163" t="str">
        <v/>
      </c>
      <c r="B163" t="str">
        <v>32mm dia. uPVC blue pipe PNS 65</v>
      </c>
      <c r="C163" t="str">
        <v>length/s</v>
      </c>
      <c r="D163">
        <v>37</v>
      </c>
      <c r="E163">
        <v>404.15</v>
      </c>
      <c r="F163">
        <v>14953.55</v>
      </c>
      <c r="G163">
        <v>0.0003468963922213578</v>
      </c>
      <c r="H163" t="str">
        <v/>
      </c>
      <c r="I163" t="str">
        <v>length/s</v>
      </c>
      <c r="J163">
        <v>0</v>
      </c>
      <c r="K163">
        <v>0</v>
      </c>
      <c r="L163">
        <v>0</v>
      </c>
      <c r="M163">
        <f>K163+L163</f>
        <v>0</v>
      </c>
      <c r="N163">
        <f>M163/43106674.89</f>
        <v>0</v>
      </c>
      <c r="O163" t="str">
        <v>Ongoing</v>
      </c>
    </row>
    <row r="164">
      <c r="A164" t="str">
        <v/>
      </c>
      <c r="B164" t="str">
        <v>50mm dia. PVC blue uPVC blue pipe PNS 65</v>
      </c>
      <c r="C164" t="str">
        <v>length/s</v>
      </c>
      <c r="D164">
        <v>24</v>
      </c>
      <c r="E164">
        <v>641.8299999999999</v>
      </c>
      <c r="F164">
        <v>15403.919999999998</v>
      </c>
      <c r="G164">
        <v>0.0003573441941255699</v>
      </c>
      <c r="H164" t="str">
        <v/>
      </c>
      <c r="I164" t="str">
        <v>length/s</v>
      </c>
      <c r="J164">
        <v>0</v>
      </c>
      <c r="K164">
        <v>0</v>
      </c>
      <c r="L164">
        <v>0</v>
      </c>
      <c r="M164">
        <v>0</v>
      </c>
      <c r="N164">
        <v>0</v>
      </c>
      <c r="O164" t="str">
        <v>Ongoing</v>
      </c>
    </row>
    <row r="165">
      <c r="A165" t="str">
        <v/>
      </c>
      <c r="B165" t="str">
        <v>Condensate Drain Pipes Rubber Insulation 1.5 meters</v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>
        <f>K165+L165</f>
        <v>0</v>
      </c>
      <c r="N165">
        <f>M165/43106674.89</f>
        <v>0</v>
      </c>
      <c r="O165" t="str">
        <v/>
      </c>
    </row>
    <row r="166">
      <c r="A166" t="str">
        <v/>
      </c>
      <c r="B166" t="str">
        <v>3/4'' thick for 32mm pvc</v>
      </c>
      <c r="C166" t="str">
        <v>length/s</v>
      </c>
      <c r="D166">
        <v>74</v>
      </c>
      <c r="E166">
        <v>427.66999999999996</v>
      </c>
      <c r="F166">
        <v>31647.579999999998</v>
      </c>
      <c r="G166">
        <v>0.0007341688979898952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>Ongoing</v>
      </c>
    </row>
    <row r="167">
      <c r="A167" t="str">
        <v/>
      </c>
      <c r="B167" t="str">
        <v>3/4'' thick for 50mm pvc</v>
      </c>
      <c r="C167" t="str">
        <v>length/s</v>
      </c>
      <c r="D167">
        <v>48</v>
      </c>
      <c r="E167">
        <v>812.5699999999998</v>
      </c>
      <c r="F167">
        <v>39003.35999999999</v>
      </c>
      <c r="G167">
        <v>0.0009048102202159898</v>
      </c>
      <c r="H167" t="str">
        <v/>
      </c>
      <c r="I167" t="str">
        <v>length/s</v>
      </c>
      <c r="J167">
        <v>0</v>
      </c>
      <c r="K167">
        <v>0</v>
      </c>
      <c r="L167">
        <v>0</v>
      </c>
      <c r="M167">
        <v>0</v>
      </c>
      <c r="N167">
        <v>0</v>
      </c>
      <c r="O167" t="str">
        <v>Ongoing</v>
      </c>
    </row>
    <row r="168">
      <c r="A168" t="str">
        <v/>
      </c>
      <c r="B168" t="str">
        <v>Drain Pump</v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>
        <v>0</v>
      </c>
      <c r="L168" t="str">
        <v/>
      </c>
      <c r="M168">
        <f>K168+L168</f>
        <v>0</v>
      </c>
      <c r="N168">
        <f>M168/43106674.89</f>
        <v>0</v>
      </c>
      <c r="O168" t="str">
        <v/>
      </c>
    </row>
    <row r="169">
      <c r="A169" t="str">
        <v/>
      </c>
      <c r="B169" t="str">
        <v xml:space="preserve"> (5.0m pump Lift) Model: BDU513A450VE</v>
      </c>
      <c r="C169" t="str">
        <v>pcs</v>
      </c>
      <c r="D169">
        <v>12</v>
      </c>
      <c r="E169">
        <v>30473.16</v>
      </c>
      <c r="F169">
        <v>365677.92</v>
      </c>
      <c r="G169">
        <v>0.008483092721327731</v>
      </c>
      <c r="H169" t="str">
        <v/>
      </c>
      <c r="I169" t="str">
        <v>pcs</v>
      </c>
      <c r="J169">
        <v>0</v>
      </c>
      <c r="K169">
        <v>0</v>
      </c>
      <c r="L169">
        <v>0</v>
      </c>
      <c r="M169">
        <f>K169+L169</f>
        <v>0</v>
      </c>
      <c r="N169">
        <f>M169/43106674.89</f>
        <v>0</v>
      </c>
      <c r="O169" t="str">
        <v>Ongoing</v>
      </c>
    </row>
    <row r="170">
      <c r="A170" t="str">
        <v/>
      </c>
      <c r="B170" t="str">
        <v>Fittings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>
        <v>0</v>
      </c>
      <c r="L170" t="str">
        <v/>
      </c>
      <c r="M170">
        <f>K170+L170</f>
        <v>0</v>
      </c>
      <c r="N170">
        <f>M170/43106674.89</f>
        <v>0</v>
      </c>
      <c r="O170" t="str">
        <v/>
      </c>
    </row>
    <row r="171">
      <c r="A171" t="str">
        <v/>
      </c>
      <c r="B171" t="str">
        <v>Wye 50mm</v>
      </c>
      <c r="C171" t="str">
        <v>pcs</v>
      </c>
      <c r="D171">
        <v>3</v>
      </c>
      <c r="E171">
        <v>213.84</v>
      </c>
      <c r="F171">
        <v>641.52</v>
      </c>
      <c r="G171">
        <v>0.000014882149960233215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f>K171+L171</f>
        <v>0</v>
      </c>
      <c r="N171">
        <f>M171/43106674.89</f>
        <v>0</v>
      </c>
      <c r="O171" t="str">
        <v>Ongoing</v>
      </c>
    </row>
    <row r="172">
      <c r="A172" t="str">
        <v/>
      </c>
      <c r="B172" t="str">
        <v>Wye Reducer 50 x 32</v>
      </c>
      <c r="C172" t="str">
        <v>pcs</v>
      </c>
      <c r="D172">
        <v>13</v>
      </c>
      <c r="E172">
        <v>192.45999999999998</v>
      </c>
      <c r="F172">
        <v>2501.9799999999996</v>
      </c>
      <c r="G172">
        <v>0.00005804159115460828</v>
      </c>
      <c r="H172" t="str">
        <v/>
      </c>
      <c r="I172" t="str">
        <v>pcs</v>
      </c>
      <c r="J172">
        <v>0</v>
      </c>
      <c r="K172">
        <v>0</v>
      </c>
      <c r="L172">
        <v>0</v>
      </c>
      <c r="M172">
        <v>0</v>
      </c>
      <c r="N172">
        <v>0</v>
      </c>
      <c r="O172" t="str">
        <v>Ongoing</v>
      </c>
    </row>
    <row r="173">
      <c r="A173" t="str">
        <v/>
      </c>
      <c r="B173" t="str">
        <v>Tee 32mm</v>
      </c>
      <c r="C173" t="str">
        <v>pcs</v>
      </c>
      <c r="D173">
        <v>3</v>
      </c>
      <c r="E173">
        <v>53.47</v>
      </c>
      <c r="F173">
        <v>160.41</v>
      </c>
      <c r="G173">
        <v>0.0000037212334379614206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>Ongoing</v>
      </c>
    </row>
    <row r="174">
      <c r="A174" t="str">
        <v/>
      </c>
      <c r="B174" t="str">
        <v>Elbow 32mm</v>
      </c>
      <c r="C174" t="str">
        <v>pcs</v>
      </c>
      <c r="D174">
        <v>6</v>
      </c>
      <c r="E174">
        <v>43.629999999999995</v>
      </c>
      <c r="F174">
        <v>261.78</v>
      </c>
      <c r="G174">
        <v>0.00000607284140259049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f>K174+L174</f>
        <v>0</v>
      </c>
      <c r="N174">
        <f>M174/43106674.89</f>
        <v>0</v>
      </c>
      <c r="O174" t="str">
        <v>Ongoing</v>
      </c>
    </row>
    <row r="175">
      <c r="A175" t="str">
        <v/>
      </c>
      <c r="B175" t="str">
        <v>Cleanout 50mm</v>
      </c>
      <c r="C175" t="str">
        <v>pcs</v>
      </c>
      <c r="D175">
        <v>4</v>
      </c>
      <c r="E175">
        <v>213.84</v>
      </c>
      <c r="F175">
        <v>855.36</v>
      </c>
      <c r="G175">
        <v>0.00001984286661364429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f>K175+L175</f>
        <v>0</v>
      </c>
      <c r="N175">
        <f>M175/43106674.89</f>
        <v>0</v>
      </c>
      <c r="O175" t="str">
        <v>Ongoing</v>
      </c>
    </row>
    <row r="176">
      <c r="A176" t="str">
        <v/>
      </c>
      <c r="B176" t="str">
        <v>RELATED ELECTRICAL WORKS</v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>
        <v>0</v>
      </c>
      <c r="L176" t="str">
        <v/>
      </c>
      <c r="M176">
        <f>K176+L176</f>
        <v>0</v>
      </c>
      <c r="N176">
        <f>M176/43106674.89</f>
        <v>0</v>
      </c>
      <c r="O176" t="str">
        <v/>
      </c>
    </row>
    <row r="177">
      <c r="A177" t="str">
        <v/>
      </c>
      <c r="B177" t="str">
        <v>Rough-ins</v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>
        <v>0</v>
      </c>
      <c r="L177" t="str">
        <v/>
      </c>
      <c r="M177">
        <f>K177+L177</f>
        <v>0</v>
      </c>
      <c r="N177">
        <f>M177/43106674.89</f>
        <v>0</v>
      </c>
      <c r="O177" t="str">
        <v/>
      </c>
    </row>
    <row r="178">
      <c r="A178" t="str">
        <v/>
      </c>
      <c r="B178" t="str">
        <v>liquid-tight metallic flexible conduits 1-1/2"</v>
      </c>
      <c r="C178" t="str">
        <v>m</v>
      </c>
      <c r="D178">
        <v>78</v>
      </c>
      <c r="E178">
        <v>404.15</v>
      </c>
      <c r="F178">
        <v>31523.699999999997</v>
      </c>
      <c r="G178">
        <v>0.0007312950971152947</v>
      </c>
      <c r="H178" t="str">
        <v/>
      </c>
      <c r="I178" t="str">
        <v>m</v>
      </c>
      <c r="J178">
        <v>0</v>
      </c>
      <c r="K178">
        <v>0</v>
      </c>
      <c r="L178">
        <v>0</v>
      </c>
      <c r="M178">
        <f>K178+L178</f>
        <v>0</v>
      </c>
      <c r="N178">
        <f>M178/43106674.89</f>
        <v>0</v>
      </c>
      <c r="O178" t="str">
        <v>Ongoing</v>
      </c>
    </row>
    <row r="179">
      <c r="A179" t="str">
        <v/>
      </c>
      <c r="B179" t="str">
        <v>Metallic Flexible Conduit</v>
      </c>
      <c r="C179" t="str">
        <v>m</v>
      </c>
      <c r="D179">
        <v>673</v>
      </c>
      <c r="E179">
        <v>65.87</v>
      </c>
      <c r="F179">
        <v>44330.51</v>
      </c>
      <c r="G179">
        <v>0.0010283908492854756</v>
      </c>
      <c r="H179" t="str">
        <v/>
      </c>
      <c r="I179" t="str">
        <v>m</v>
      </c>
      <c r="J179">
        <v>0</v>
      </c>
      <c r="K179">
        <v>0</v>
      </c>
      <c r="L179">
        <v>0</v>
      </c>
      <c r="M179">
        <f>K179+L179</f>
        <v>0</v>
      </c>
      <c r="N179">
        <f>M179/43106674.89</f>
        <v>0</v>
      </c>
      <c r="O179" t="str">
        <v>Ongoing</v>
      </c>
    </row>
    <row r="180">
      <c r="A180" t="str">
        <v/>
      </c>
      <c r="B180" t="str">
        <v>Metallic Flexible Conduit Connector 20mm</v>
      </c>
      <c r="C180" t="str">
        <v>pcs</v>
      </c>
      <c r="D180">
        <v>34</v>
      </c>
      <c r="E180">
        <v>32.09</v>
      </c>
      <c r="F180">
        <v>1091.0600000000002</v>
      </c>
      <c r="G180">
        <v>0.000025310697305792582</v>
      </c>
      <c r="H180" t="str">
        <v/>
      </c>
      <c r="I180" t="str">
        <v>pcs</v>
      </c>
      <c r="J180">
        <v>0</v>
      </c>
      <c r="K180">
        <v>0</v>
      </c>
      <c r="L180">
        <v>0</v>
      </c>
      <c r="M180">
        <f>K180+L180</f>
        <v>0</v>
      </c>
      <c r="N180">
        <f>M180/43106674.89</f>
        <v>0</v>
      </c>
      <c r="O180" t="str">
        <v>Ongoing</v>
      </c>
    </row>
    <row r="181">
      <c r="A181" t="str">
        <v/>
      </c>
      <c r="B181" t="str">
        <v>Cables / Wires</v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>
        <f>K181+L181</f>
        <v>0</v>
      </c>
      <c r="N181">
        <f>M181/43106674.89</f>
        <v>0</v>
      </c>
      <c r="O181" t="str">
        <v/>
      </c>
    </row>
    <row r="182">
      <c r="A182" t="str">
        <v/>
      </c>
      <c r="B182" t="str">
        <v>Communication wire (PD Royal Cord 0.75mm/2C)</v>
      </c>
      <c r="C182" t="str">
        <v>m</v>
      </c>
      <c r="D182">
        <v>482</v>
      </c>
      <c r="E182">
        <v>80.84</v>
      </c>
      <c r="F182">
        <v>38964.880000000005</v>
      </c>
      <c r="G182">
        <v>0.0009039175510389266</v>
      </c>
      <c r="H182" t="str">
        <v/>
      </c>
      <c r="I182" t="str">
        <v>m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>Ongoing</v>
      </c>
    </row>
    <row r="183">
      <c r="A183" t="str">
        <v/>
      </c>
      <c r="B183" t="str">
        <v>Wire 3.5mm² THHN (5 meters per Unit)</v>
      </c>
      <c r="C183" t="str">
        <v>m</v>
      </c>
      <c r="D183">
        <v>94</v>
      </c>
      <c r="E183">
        <v>78.48</v>
      </c>
      <c r="F183">
        <v>7377.120000000001</v>
      </c>
      <c r="G183">
        <v>0.00017113637316784464</v>
      </c>
      <c r="H183" t="str">
        <v/>
      </c>
      <c r="I183" t="str">
        <v>m</v>
      </c>
      <c r="J183">
        <v>0</v>
      </c>
      <c r="K183">
        <v>0</v>
      </c>
      <c r="L183">
        <v>0</v>
      </c>
      <c r="M183">
        <v>0</v>
      </c>
      <c r="N183">
        <v>0</v>
      </c>
      <c r="O183" t="str">
        <v>Ongoing</v>
      </c>
    </row>
    <row r="184">
      <c r="A184" t="str">
        <v/>
      </c>
      <c r="B184" t="str">
        <v>Wire 5.5mm² THHN (5 meters per Unit)</v>
      </c>
      <c r="C184" t="str">
        <v>m</v>
      </c>
      <c r="D184">
        <v>13</v>
      </c>
      <c r="E184">
        <v>115.83000000000003</v>
      </c>
      <c r="F184">
        <v>1505.7900000000004</v>
      </c>
      <c r="G184">
        <v>0.00003493171310110298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f>K184+L184</f>
        <v>0</v>
      </c>
      <c r="N184">
        <f>M184/43106674.89</f>
        <v>0</v>
      </c>
      <c r="O184" t="str">
        <v>Ongoing</v>
      </c>
    </row>
    <row r="185">
      <c r="A185" t="str">
        <v/>
      </c>
      <c r="B185" t="str">
        <v>Wire 30.0mm² THHN (5 meters per Unit)</v>
      </c>
      <c r="C185" t="str">
        <v>m</v>
      </c>
      <c r="D185">
        <v>59</v>
      </c>
      <c r="E185">
        <v>789.47</v>
      </c>
      <c r="F185">
        <v>46578.73</v>
      </c>
      <c r="G185">
        <v>0.0010805456491102597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f>K185+L185</f>
        <v>0</v>
      </c>
      <c r="N185">
        <f>M185/43106674.89</f>
        <v>0</v>
      </c>
      <c r="O185" t="str">
        <v>Ongoing</v>
      </c>
    </row>
    <row r="186">
      <c r="A186" t="str">
        <v/>
      </c>
      <c r="B186" t="str">
        <v>for ground:</v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>
        <v>0</v>
      </c>
      <c r="L186" t="str">
        <v/>
      </c>
      <c r="M186">
        <f>K186+L186</f>
        <v>0</v>
      </c>
      <c r="N186">
        <f>M186/43106674.89</f>
        <v>0</v>
      </c>
      <c r="O186" t="str">
        <v/>
      </c>
    </row>
    <row r="187">
      <c r="A187" t="str">
        <v/>
      </c>
      <c r="B187" t="str">
        <v>Wire 3.5mm² THHN (G) (5 meters per Unit)</v>
      </c>
      <c r="C187" t="str">
        <v>m</v>
      </c>
      <c r="D187">
        <v>85</v>
      </c>
      <c r="E187">
        <v>78.48</v>
      </c>
      <c r="F187">
        <v>6670.8</v>
      </c>
      <c r="G187">
        <v>0.00015475097573688077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f>K187+L187</f>
        <v>0</v>
      </c>
      <c r="N187">
        <f>M187/43106674.89</f>
        <v>0</v>
      </c>
      <c r="O187" t="str">
        <v>Ongoing</v>
      </c>
    </row>
    <row r="188">
      <c r="A188" t="str">
        <v/>
      </c>
      <c r="B188" t="str">
        <v>Wire 8.0mm² THHN (G) (5 meters per Unit)</v>
      </c>
      <c r="C188" t="str">
        <v>m</v>
      </c>
      <c r="D188">
        <v>20</v>
      </c>
      <c r="E188">
        <v>187.88</v>
      </c>
      <c r="F188">
        <v>3757.6</v>
      </c>
      <c r="G188">
        <v>0.00008716979469162666</v>
      </c>
      <c r="H188" t="str">
        <v/>
      </c>
      <c r="I188" t="str">
        <v>m</v>
      </c>
      <c r="J188">
        <v>0</v>
      </c>
      <c r="K188">
        <v>0</v>
      </c>
      <c r="L188">
        <v>0</v>
      </c>
      <c r="M188">
        <f>K188+L188</f>
        <v>0</v>
      </c>
      <c r="N188">
        <f>M188/43106674.89</f>
        <v>0</v>
      </c>
      <c r="O188" t="str">
        <v>Ongoing</v>
      </c>
    </row>
    <row r="189">
      <c r="A189" t="str">
        <v>II.B</v>
      </c>
      <c r="B189" t="str">
        <v>CONSUMABLES</v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>
        <v>0</v>
      </c>
      <c r="L189" t="str">
        <v/>
      </c>
      <c r="M189">
        <f>K189+L189</f>
        <v>0</v>
      </c>
      <c r="N189">
        <f>M189/43106674.89</f>
        <v>0</v>
      </c>
      <c r="O189" t="str">
        <v/>
      </c>
    </row>
    <row r="190">
      <c r="A190" t="str">
        <v/>
      </c>
      <c r="B190" t="str">
        <v>Vibration Isolator</v>
      </c>
      <c r="C190" t="str">
        <v>pcs</v>
      </c>
      <c r="D190">
        <v>16</v>
      </c>
      <c r="E190">
        <v>1389.9099999999999</v>
      </c>
      <c r="F190">
        <v>22238.559999999998</v>
      </c>
      <c r="G190">
        <v>0.0005158959733440018</v>
      </c>
      <c r="H190" t="str">
        <v/>
      </c>
      <c r="I190" t="str">
        <v>pcs</v>
      </c>
      <c r="J190">
        <v>0</v>
      </c>
      <c r="K190">
        <v>0</v>
      </c>
      <c r="L190">
        <v>0</v>
      </c>
      <c r="M190">
        <f>K190+L190</f>
        <v>0</v>
      </c>
      <c r="N190">
        <f>M190/43106674.89</f>
        <v>0</v>
      </c>
      <c r="O190" t="str">
        <v>Ongoing</v>
      </c>
    </row>
    <row r="191">
      <c r="A191" t="str">
        <v/>
      </c>
      <c r="B191" t="str">
        <v>Angle Bar, 2x2x 1/4 (6 meters)</v>
      </c>
      <c r="C191" t="str">
        <v>length/s</v>
      </c>
      <c r="D191">
        <v>6</v>
      </c>
      <c r="E191">
        <v>2523.2200000000007</v>
      </c>
      <c r="F191">
        <v>15139.320000000003</v>
      </c>
      <c r="G191">
        <v>0.00035120593362008667</v>
      </c>
      <c r="H191" t="str">
        <v/>
      </c>
      <c r="I191" t="str">
        <v>length/s</v>
      </c>
      <c r="J191">
        <v>0</v>
      </c>
      <c r="K191">
        <v>0</v>
      </c>
      <c r="L191">
        <v>0</v>
      </c>
      <c r="M191">
        <f>K191+L191</f>
        <v>0</v>
      </c>
      <c r="N191">
        <f>M191/43106674.89</f>
        <v>0</v>
      </c>
      <c r="O191" t="str">
        <v>Ongoing</v>
      </c>
    </row>
    <row r="192">
      <c r="A192" t="str">
        <v/>
      </c>
      <c r="B192" t="str">
        <v>Rugby</v>
      </c>
      <c r="C192" t="str">
        <v>bottle</v>
      </c>
      <c r="D192">
        <v>25</v>
      </c>
      <c r="E192">
        <v>277.99000000000007</v>
      </c>
      <c r="F192">
        <v>6949.750000000002</v>
      </c>
      <c r="G192">
        <v>0.00016122213132268806</v>
      </c>
      <c r="H192" t="str">
        <v/>
      </c>
      <c r="I192" t="str">
        <v>bottle</v>
      </c>
      <c r="J192">
        <v>0</v>
      </c>
      <c r="K192">
        <v>0</v>
      </c>
      <c r="L192">
        <v>0</v>
      </c>
      <c r="M192">
        <f>K192+L192</f>
        <v>0</v>
      </c>
      <c r="N192">
        <f>M192/43106674.89</f>
        <v>0</v>
      </c>
      <c r="O192" t="str">
        <v>Ongoing</v>
      </c>
    </row>
    <row r="193">
      <c r="A193" t="str">
        <v/>
      </c>
      <c r="B193" t="str">
        <v>White Tape</v>
      </c>
      <c r="C193" t="str">
        <v>rolls</v>
      </c>
      <c r="D193">
        <v>49</v>
      </c>
      <c r="E193">
        <v>374.2199999999999</v>
      </c>
      <c r="F193">
        <v>18336.779999999995</v>
      </c>
      <c r="G193">
        <v>0.0004253814530299994</v>
      </c>
      <c r="H193" t="str">
        <v/>
      </c>
      <c r="I193" t="str">
        <v>rolls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>Ongoing</v>
      </c>
    </row>
    <row r="194">
      <c r="A194" t="str">
        <v/>
      </c>
      <c r="B194" t="str">
        <v>Threaded rod 3/8 (6 meters)</v>
      </c>
      <c r="C194" t="str">
        <v>length/s</v>
      </c>
      <c r="D194">
        <v>107</v>
      </c>
      <c r="E194">
        <v>171.07000000000002</v>
      </c>
      <c r="F194">
        <v>18304.49</v>
      </c>
      <c r="G194">
        <v>0.0004246323811036123</v>
      </c>
      <c r="H194" t="str">
        <v/>
      </c>
      <c r="I194" t="str">
        <v>length/s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>Ongoing</v>
      </c>
    </row>
    <row r="195">
      <c r="A195" t="str">
        <v/>
      </c>
      <c r="B195" t="str">
        <v>Nuts and washer 3/8</v>
      </c>
      <c r="C195" t="str">
        <v>pcs</v>
      </c>
      <c r="D195">
        <v>32</v>
      </c>
      <c r="E195">
        <v>21.39</v>
      </c>
      <c r="F195">
        <v>684.48</v>
      </c>
      <c r="G195">
        <v>0.000015878747357495374</v>
      </c>
      <c r="H195" t="str">
        <v/>
      </c>
      <c r="I195" t="str">
        <v>pcs</v>
      </c>
      <c r="J195">
        <v>0</v>
      </c>
      <c r="K195">
        <v>0</v>
      </c>
      <c r="L195">
        <v>0</v>
      </c>
      <c r="M195">
        <f>K195+L195</f>
        <v>0</v>
      </c>
      <c r="N195">
        <f>M195/43106674.89</f>
        <v>0</v>
      </c>
      <c r="O195" t="str">
        <v>Ongoing</v>
      </c>
    </row>
    <row r="196">
      <c r="A196" t="str">
        <v/>
      </c>
      <c r="B196" t="str">
        <v>Grip Anchor 3/8</v>
      </c>
      <c r="C196" t="str">
        <v>pcs</v>
      </c>
      <c r="D196">
        <v>32</v>
      </c>
      <c r="E196">
        <v>10.699999999999998</v>
      </c>
      <c r="F196">
        <v>342.3999999999999</v>
      </c>
      <c r="G196">
        <v>0.000007943085400897639</v>
      </c>
      <c r="H196" t="str">
        <v/>
      </c>
      <c r="I196" t="str">
        <v>pcs</v>
      </c>
      <c r="J196">
        <v>0</v>
      </c>
      <c r="K196">
        <v>0</v>
      </c>
      <c r="L196">
        <v>0</v>
      </c>
      <c r="M196">
        <f>K196+L196</f>
        <v>0</v>
      </c>
      <c r="N196">
        <f>M196/43106674.89</f>
        <v>0</v>
      </c>
      <c r="O196" t="str">
        <v>Ongoing</v>
      </c>
    </row>
    <row r="197">
      <c r="A197" t="str">
        <v/>
      </c>
      <c r="B197" t="str">
        <v>Paint (Red Oxide)</v>
      </c>
      <c r="C197" t="str">
        <v>gallon</v>
      </c>
      <c r="D197">
        <v>1</v>
      </c>
      <c r="E197">
        <v>3432</v>
      </c>
      <c r="F197">
        <v>3432</v>
      </c>
      <c r="G197">
        <v>0.000079616440116474</v>
      </c>
      <c r="H197" t="str">
        <v/>
      </c>
      <c r="I197" t="str">
        <v>gallon</v>
      </c>
      <c r="J197">
        <v>0</v>
      </c>
      <c r="K197">
        <v>0</v>
      </c>
      <c r="L197">
        <v>0</v>
      </c>
      <c r="M197">
        <f>K197+L197</f>
        <v>0</v>
      </c>
      <c r="N197">
        <f>M197/43106674.89</f>
        <v>0</v>
      </c>
      <c r="O197" t="str">
        <v>Ongoing</v>
      </c>
    </row>
    <row r="198">
      <c r="A198" t="str">
        <v/>
      </c>
      <c r="B198" t="str">
        <v>Loop Hangers</v>
      </c>
      <c r="C198" t="str">
        <v>pcs</v>
      </c>
      <c r="D198">
        <v>402</v>
      </c>
      <c r="E198">
        <v>42.78</v>
      </c>
      <c r="F198">
        <v>17197.56</v>
      </c>
      <c r="G198">
        <v>0.0003989535273570714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f>K198+L198</f>
        <v>0</v>
      </c>
      <c r="N198">
        <f>M198/43106674.89</f>
        <v>0</v>
      </c>
      <c r="O198" t="str">
        <v>Ongoing</v>
      </c>
    </row>
    <row r="199">
      <c r="A199" t="str">
        <v/>
      </c>
      <c r="B199" t="str">
        <v>Freon</v>
      </c>
      <c r="C199" t="str">
        <v>tank</v>
      </c>
      <c r="D199">
        <v>7</v>
      </c>
      <c r="E199">
        <v>14497.769999999999</v>
      </c>
      <c r="F199">
        <v>101484.38999999998</v>
      </c>
      <c r="G199">
        <v>0.0023542616139836515</v>
      </c>
      <c r="H199" t="str">
        <v/>
      </c>
      <c r="I199" t="str">
        <v>tank</v>
      </c>
      <c r="J199">
        <v>0</v>
      </c>
      <c r="K199">
        <v>0</v>
      </c>
      <c r="L199">
        <v>0</v>
      </c>
      <c r="M199">
        <f>K199+L199</f>
        <v>0</v>
      </c>
      <c r="N199">
        <f>M199/43106674.89</f>
        <v>0</v>
      </c>
      <c r="O199" t="str">
        <v>Ongoing</v>
      </c>
    </row>
    <row r="200">
      <c r="A200" t="str">
        <v/>
      </c>
      <c r="B200" t="str">
        <v>Nitrogen</v>
      </c>
      <c r="C200" t="str">
        <v>tank</v>
      </c>
      <c r="D200">
        <v>4</v>
      </c>
      <c r="E200">
        <v>18175.66</v>
      </c>
      <c r="F200">
        <v>72702.64</v>
      </c>
      <c r="G200">
        <v>0.0016865749952999906</v>
      </c>
      <c r="H200" t="str">
        <v/>
      </c>
      <c r="I200" t="str">
        <v>tank</v>
      </c>
      <c r="J200">
        <v>0</v>
      </c>
      <c r="K200">
        <v>0</v>
      </c>
      <c r="L200">
        <v>0</v>
      </c>
      <c r="M200">
        <f>K200+L200</f>
        <v>0</v>
      </c>
      <c r="N200">
        <f>M200/43106674.89</f>
        <v>0</v>
      </c>
      <c r="O200" t="str">
        <v>Ongoing</v>
      </c>
    </row>
    <row r="201">
      <c r="A201" t="str">
        <v/>
      </c>
      <c r="B201" t="str">
        <v>Mapp Gas</v>
      </c>
      <c r="C201" t="str">
        <v>tank</v>
      </c>
      <c r="D201">
        <v>12</v>
      </c>
      <c r="E201">
        <v>855.3299999999999</v>
      </c>
      <c r="F201">
        <v>10263.96</v>
      </c>
      <c r="G201">
        <v>0.00023810604798889408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f>K201+L201</f>
        <v>0</v>
      </c>
      <c r="N201">
        <f>M201/43106674.89</f>
        <v>0</v>
      </c>
      <c r="O201" t="str">
        <v>Ongoing</v>
      </c>
    </row>
    <row r="202">
      <c r="A202" t="str">
        <v/>
      </c>
      <c r="B202" t="str">
        <v>Silver Rod</v>
      </c>
      <c r="C202" t="str">
        <v>pcs</v>
      </c>
      <c r="D202">
        <v>160</v>
      </c>
      <c r="E202">
        <v>53.470000000000006</v>
      </c>
      <c r="F202">
        <v>8555.2</v>
      </c>
      <c r="G202">
        <v>0.00019846578335794244</v>
      </c>
      <c r="H202" t="str">
        <v/>
      </c>
      <c r="I202" t="str">
        <v>pcs</v>
      </c>
      <c r="J202">
        <v>0</v>
      </c>
      <c r="K202">
        <v>0</v>
      </c>
      <c r="L202">
        <v>0</v>
      </c>
      <c r="M202">
        <f>K202+L202</f>
        <v>0</v>
      </c>
      <c r="N202">
        <f>M202/43106674.89</f>
        <v>0</v>
      </c>
      <c r="O202" t="str">
        <v>Ongoing</v>
      </c>
    </row>
    <row r="203">
      <c r="A203" t="str">
        <v/>
      </c>
      <c r="B203" t="str">
        <v>Paint Brush</v>
      </c>
      <c r="C203" t="str">
        <v>pcs</v>
      </c>
      <c r="D203">
        <v>1</v>
      </c>
      <c r="E203">
        <v>213.84</v>
      </c>
      <c r="F203">
        <v>213.84</v>
      </c>
      <c r="G203">
        <v>0.000004960716653411073</v>
      </c>
      <c r="H203" t="str">
        <v/>
      </c>
      <c r="I203" t="str">
        <v>pcs</v>
      </c>
      <c r="J203">
        <v>0</v>
      </c>
      <c r="K203">
        <v>0</v>
      </c>
      <c r="L203">
        <v>0</v>
      </c>
      <c r="M203">
        <f>K203+L203</f>
        <v>0</v>
      </c>
      <c r="N203">
        <f>M203/43106674.89</f>
        <v>0</v>
      </c>
      <c r="O203" t="str">
        <v>Ongoing</v>
      </c>
    </row>
    <row r="204">
      <c r="A204" t="str">
        <v>II.C</v>
      </c>
      <c r="B204" t="str">
        <v>CHIPPING &amp; RESTORATION (ROUGH-ONLY)</v>
      </c>
      <c r="C204" t="str">
        <v>lot</v>
      </c>
      <c r="D204">
        <v>1</v>
      </c>
      <c r="E204">
        <v>737348.8400000002</v>
      </c>
      <c r="F204">
        <v>737348.8400000002</v>
      </c>
      <c r="G204">
        <v>0.017105212635434613</v>
      </c>
      <c r="H204">
        <v>1</v>
      </c>
      <c r="I204" t="str">
        <v>lot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>Ongoing</v>
      </c>
    </row>
    <row r="205">
      <c r="A205" t="str">
        <v>II.D</v>
      </c>
      <c r="B205" t="str">
        <v>MISCELLANEOUS</v>
      </c>
      <c r="C205" t="str">
        <v>lot</v>
      </c>
      <c r="D205">
        <v>1</v>
      </c>
      <c r="E205">
        <v>6640.710000000001</v>
      </c>
      <c r="F205">
        <v>6640.710000000001</v>
      </c>
      <c r="G205">
        <v>0.00015405293999005542</v>
      </c>
      <c r="H205">
        <v>1</v>
      </c>
      <c r="I205" t="str">
        <v>lot</v>
      </c>
      <c r="J205">
        <v>0</v>
      </c>
      <c r="K205">
        <v>0</v>
      </c>
      <c r="L205">
        <v>0</v>
      </c>
      <c r="M205">
        <f>K205+L205</f>
        <v>0</v>
      </c>
      <c r="N205">
        <f>M205/43106674.89</f>
        <v>0</v>
      </c>
      <c r="O205" t="str">
        <v>Ongoing</v>
      </c>
    </row>
    <row r="206">
      <c r="A206" t="str">
        <v>II.E</v>
      </c>
      <c r="B206" t="str">
        <v>TESTING &amp; COMMISIONING</v>
      </c>
      <c r="C206" t="str">
        <v>lot</v>
      </c>
      <c r="D206">
        <v>1</v>
      </c>
      <c r="E206">
        <v>47190.33</v>
      </c>
      <c r="F206">
        <v>47190.33</v>
      </c>
      <c r="G206">
        <v>0.001094733707028452</v>
      </c>
      <c r="H206">
        <v>1</v>
      </c>
      <c r="I206" t="str">
        <v>lot</v>
      </c>
      <c r="J206">
        <v>0</v>
      </c>
      <c r="K206">
        <v>0</v>
      </c>
      <c r="L206">
        <v>0</v>
      </c>
      <c r="M206">
        <v>0</v>
      </c>
      <c r="N206">
        <v>0</v>
      </c>
      <c r="O206" t="str">
        <v>Ongoing</v>
      </c>
    </row>
    <row r="207">
      <c r="A207" t="str">
        <v>III.A</v>
      </c>
      <c r="B207" t="str">
        <v>AIR CONDITIONING- VRV SYSTEM C</v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>
        <v>0</v>
      </c>
      <c r="L207" t="str">
        <v/>
      </c>
      <c r="M207">
        <f>K207+L207</f>
        <v>0</v>
      </c>
      <c r="N207">
        <f>M207/43106674.89</f>
        <v>0</v>
      </c>
      <c r="O207" t="str">
        <v/>
      </c>
    </row>
    <row r="208">
      <c r="A208" t="str">
        <v/>
      </c>
      <c r="B208" t="str">
        <v>ACCU- Model: RXQ18BYM</v>
      </c>
      <c r="C208" t="str">
        <v>units</v>
      </c>
      <c r="D208">
        <v>3</v>
      </c>
      <c r="E208">
        <v>741057.71</v>
      </c>
      <c r="F208">
        <v>2223173.13</v>
      </c>
      <c r="G208">
        <v>0.05157375593624682</v>
      </c>
      <c r="H208" t="str">
        <v/>
      </c>
      <c r="I208" t="str">
        <v>units</v>
      </c>
      <c r="J208">
        <v>0</v>
      </c>
      <c r="K208">
        <v>0</v>
      </c>
      <c r="L208">
        <v>0</v>
      </c>
      <c r="M208">
        <v>0</v>
      </c>
      <c r="N208">
        <v>0</v>
      </c>
      <c r="O208" t="str">
        <v>Ongoing</v>
      </c>
    </row>
    <row r="209">
      <c r="A209" t="str">
        <v/>
      </c>
      <c r="B209" t="str">
        <v>FCU- 2 HP Wall Mounted VRF C (Storage Room, OR No. 8 Ortho, NSS/Pay, OR No. 9 Plastic Surgery (2) ) Model: FXAQ50BVM</v>
      </c>
      <c r="C209" t="str">
        <v>units</v>
      </c>
      <c r="D209">
        <v>1</v>
      </c>
      <c r="E209">
        <v>55087.34</v>
      </c>
      <c r="F209">
        <v>55087.34</v>
      </c>
      <c r="G209">
        <v>0.0012779306253746627</v>
      </c>
      <c r="H209" t="str">
        <v/>
      </c>
      <c r="I209" t="str">
        <v>units</v>
      </c>
      <c r="J209">
        <v>0</v>
      </c>
      <c r="K209">
        <v>0</v>
      </c>
      <c r="L209">
        <v>0</v>
      </c>
      <c r="M209">
        <f>K209+L209</f>
        <v>0</v>
      </c>
      <c r="N209">
        <f>M209/43106674.89</f>
        <v>0</v>
      </c>
      <c r="O209" t="str">
        <v>Ongoing</v>
      </c>
    </row>
    <row r="210">
      <c r="A210" t="str">
        <v/>
      </c>
      <c r="B210" t="str">
        <v>FCU- 2.5HP Wall Mounted VRF C (OR No. 4,  Euro- Endo (2), OR No. 7 Ortho, OR. 12 Pedia,  OR No. 10 Pay) Model: FXAQ63BVM</v>
      </c>
      <c r="C210" t="str">
        <v>units</v>
      </c>
      <c r="D210">
        <v>7</v>
      </c>
      <c r="E210">
        <v>56222.86</v>
      </c>
      <c r="F210">
        <v>393560.02</v>
      </c>
      <c r="G210">
        <v>0.009129909022310114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>Ongoing</v>
      </c>
    </row>
    <row r="211">
      <c r="A211" t="str">
        <v/>
      </c>
      <c r="B211" t="str">
        <v>FCU- 6HP ceiling Cassette VRF C (Corridor near Ortho, Corridor near OR. No. 10, Corridor near NSS/Pay) Model: FXFQ140AVM</v>
      </c>
      <c r="C211" t="str">
        <v>units</v>
      </c>
      <c r="D211">
        <v>2</v>
      </c>
      <c r="E211">
        <v>87530.69</v>
      </c>
      <c r="F211">
        <v>175061.38</v>
      </c>
      <c r="G211">
        <v>0.004061120010919959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f>K211+L211</f>
        <v>0</v>
      </c>
      <c r="N211">
        <f>M211/43106674.89</f>
        <v>0</v>
      </c>
      <c r="O211" t="str">
        <v>Ongoing</v>
      </c>
    </row>
    <row r="212">
      <c r="A212" t="str">
        <v/>
      </c>
      <c r="B212" t="str">
        <v>Accessories:</v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>
        <v>0</v>
      </c>
      <c r="L212" t="str">
        <v/>
      </c>
      <c r="M212" t="str">
        <v/>
      </c>
      <c r="N212" t="str">
        <v/>
      </c>
      <c r="O212" t="str">
        <v/>
      </c>
    </row>
    <row r="213">
      <c r="A213" t="str">
        <v/>
      </c>
      <c r="B213" t="str">
        <v>Wired Remote Controller Model: BRC1E63</v>
      </c>
      <c r="C213" t="str">
        <v>units</v>
      </c>
      <c r="D213">
        <v>10</v>
      </c>
      <c r="E213">
        <v>11760.720000000001</v>
      </c>
      <c r="F213">
        <v>117607.20000000001</v>
      </c>
      <c r="G213">
        <v>0.002728282807711592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>Ongoing</v>
      </c>
    </row>
    <row r="214">
      <c r="A214" t="str">
        <v/>
      </c>
      <c r="B214" t="str">
        <v>Standard panel(Fresh white) Model: BYCQ125EAF</v>
      </c>
      <c r="C214" t="str">
        <v>units</v>
      </c>
      <c r="D214">
        <v>2</v>
      </c>
      <c r="E214">
        <v>22345.370000000003</v>
      </c>
      <c r="F214">
        <v>44690.740000000005</v>
      </c>
      <c r="G214">
        <v>0.0010367475597234585</v>
      </c>
      <c r="H214" t="str">
        <v/>
      </c>
      <c r="I214" t="str">
        <v>units</v>
      </c>
      <c r="J214">
        <v>0</v>
      </c>
      <c r="K214">
        <v>0</v>
      </c>
      <c r="L214">
        <v>0</v>
      </c>
      <c r="M214">
        <f>K214+L214</f>
        <v>0</v>
      </c>
      <c r="N214">
        <f>M214/43106674.89</f>
        <v>0</v>
      </c>
      <c r="O214" t="str">
        <v>Ongoing</v>
      </c>
    </row>
    <row r="215">
      <c r="A215" t="str">
        <v/>
      </c>
      <c r="B215" t="str">
        <v>Refnet Joints Model: KHRP26A33T</v>
      </c>
      <c r="C215" t="str">
        <v>units</v>
      </c>
      <c r="D215">
        <v>2</v>
      </c>
      <c r="E215">
        <v>4939.510000000001</v>
      </c>
      <c r="F215">
        <v>9879.020000000002</v>
      </c>
      <c r="G215">
        <v>0.00022917610846137797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f>K215+L215</f>
        <v>0</v>
      </c>
      <c r="N215">
        <f>M215/43106674.89</f>
        <v>0</v>
      </c>
      <c r="O215" t="str">
        <v>Ongoing</v>
      </c>
    </row>
    <row r="216">
      <c r="A216" t="str">
        <v/>
      </c>
      <c r="B216" t="str">
        <v>Refnet Joints Model: KHRP26A72T</v>
      </c>
      <c r="C216" t="str">
        <v>units</v>
      </c>
      <c r="D216">
        <v>4</v>
      </c>
      <c r="E216">
        <v>8232.51</v>
      </c>
      <c r="F216">
        <v>32930.04</v>
      </c>
      <c r="G216">
        <v>0.0007639197429175681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>Ongoing</v>
      </c>
    </row>
    <row r="217">
      <c r="A217" t="str">
        <v/>
      </c>
      <c r="B217" t="str">
        <v xml:space="preserve">Refnet Joints Model: KHRP26A73T </v>
      </c>
      <c r="C217" t="str">
        <v>units</v>
      </c>
      <c r="D217">
        <v>3</v>
      </c>
      <c r="E217">
        <v>14112.87</v>
      </c>
      <c r="F217">
        <v>42338.61</v>
      </c>
      <c r="G217">
        <v>0.0009821822283449149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>Ongoing</v>
      </c>
    </row>
    <row r="218">
      <c r="A218" t="str">
        <v/>
      </c>
      <c r="B218" t="str">
        <v>Pipe Size Reducer Model: KHRP26M73TP</v>
      </c>
      <c r="C218" t="str">
        <v>units</v>
      </c>
      <c r="D218">
        <v>3</v>
      </c>
      <c r="E218">
        <v>5997.970000000001</v>
      </c>
      <c r="F218">
        <v>17993.910000000003</v>
      </c>
      <c r="G218">
        <v>0.00041742746444528643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f>K218+L218</f>
        <v>0</v>
      </c>
      <c r="N218">
        <f>M218/43106674.89</f>
        <v>0</v>
      </c>
      <c r="O218" t="str">
        <v>Ongoing</v>
      </c>
    </row>
    <row r="219">
      <c r="A219" t="str">
        <v/>
      </c>
      <c r="B219" t="str">
        <v>VRV Multi Con piping kit Model: BHFP22R168-7</v>
      </c>
      <c r="C219" t="str">
        <v>units</v>
      </c>
      <c r="D219">
        <v>1</v>
      </c>
      <c r="E219">
        <v>39751.22</v>
      </c>
      <c r="F219">
        <v>39751.22</v>
      </c>
      <c r="G219">
        <v>0.0009221592735101353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f>K219+L219</f>
        <v>0</v>
      </c>
      <c r="N219">
        <f>M219/43106674.89</f>
        <v>0</v>
      </c>
      <c r="O219" t="str">
        <v>Ongoing</v>
      </c>
    </row>
    <row r="220">
      <c r="A220" t="str">
        <v/>
      </c>
      <c r="B220" t="str">
        <v xml:space="preserve">Copper Pipes - Type L Hard Drawn Pipes </v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>
        <v>0</v>
      </c>
      <c r="L220" t="str">
        <v/>
      </c>
      <c r="M220" t="str">
        <v/>
      </c>
      <c r="N220" t="str">
        <v/>
      </c>
      <c r="O220" t="str">
        <v/>
      </c>
    </row>
    <row r="221">
      <c r="A221" t="str">
        <v/>
      </c>
      <c r="B221" t="str">
        <v>1/4"</v>
      </c>
      <c r="C221" t="str">
        <v>length/s</v>
      </c>
      <c r="D221">
        <v>1</v>
      </c>
      <c r="E221">
        <v>2120.33</v>
      </c>
      <c r="F221">
        <v>2120.33</v>
      </c>
      <c r="G221">
        <v>0.000049187973913800506</v>
      </c>
      <c r="H221" t="str">
        <v/>
      </c>
      <c r="I221" t="str">
        <v>length/s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>Ongoing</v>
      </c>
    </row>
    <row r="222">
      <c r="A222" t="str">
        <v/>
      </c>
      <c r="B222" t="str">
        <v>3/8"</v>
      </c>
      <c r="C222" t="str">
        <v>length/s</v>
      </c>
      <c r="D222">
        <v>11</v>
      </c>
      <c r="E222">
        <v>2952.3500000000004</v>
      </c>
      <c r="F222">
        <v>32475.850000000006</v>
      </c>
      <c r="G222">
        <v>0.000753383323647026</v>
      </c>
      <c r="H222" t="str">
        <v/>
      </c>
      <c r="I222" t="str">
        <v>length/s</v>
      </c>
      <c r="J222">
        <v>0</v>
      </c>
      <c r="K222">
        <v>0</v>
      </c>
      <c r="L222">
        <v>0</v>
      </c>
      <c r="M222">
        <f>K222+L222</f>
        <v>0</v>
      </c>
      <c r="N222">
        <f>M222/43106674.89</f>
        <v>0</v>
      </c>
      <c r="O222" t="str">
        <v>Ongoing</v>
      </c>
    </row>
    <row r="223">
      <c r="A223" t="str">
        <v/>
      </c>
      <c r="B223" t="str">
        <v>1/2"</v>
      </c>
      <c r="C223" t="str">
        <v>length/s</v>
      </c>
      <c r="D223">
        <v>2</v>
      </c>
      <c r="E223">
        <v>4696.92</v>
      </c>
      <c r="F223">
        <v>9393.84</v>
      </c>
      <c r="G223">
        <v>0.00021792077500691672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>Ongoing</v>
      </c>
    </row>
    <row r="224">
      <c r="A224" t="str">
        <v/>
      </c>
      <c r="B224" t="str">
        <v>5/8"</v>
      </c>
      <c r="C224" t="str">
        <v>length/s</v>
      </c>
      <c r="D224">
        <v>14</v>
      </c>
      <c r="E224">
        <v>6775.950000000002</v>
      </c>
      <c r="F224">
        <v>94863.30000000002</v>
      </c>
      <c r="G224">
        <v>0.002200663823922235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>Ongoing</v>
      </c>
    </row>
    <row r="225">
      <c r="A225" t="str">
        <v/>
      </c>
      <c r="B225" t="str">
        <v>3/4"</v>
      </c>
      <c r="C225" t="str">
        <v>length/s</v>
      </c>
      <c r="D225">
        <v>9</v>
      </c>
      <c r="E225">
        <v>8642.33</v>
      </c>
      <c r="F225">
        <v>77780.97</v>
      </c>
      <c r="G225">
        <v>0.001804383432461032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f>K225+L225</f>
        <v>0</v>
      </c>
      <c r="N225">
        <f>M225/43106674.89</f>
        <v>0</v>
      </c>
      <c r="O225" t="str">
        <v>Ongoing</v>
      </c>
    </row>
    <row r="226">
      <c r="A226" t="str">
        <v/>
      </c>
      <c r="B226" t="str">
        <v>7/8"</v>
      </c>
      <c r="C226" t="str">
        <v>length/s</v>
      </c>
      <c r="D226">
        <v>1</v>
      </c>
      <c r="E226">
        <v>10870.01</v>
      </c>
      <c r="F226">
        <v>10870.01</v>
      </c>
      <c r="G226">
        <v>0.0002521653555450098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f>K226+L226</f>
        <v>0</v>
      </c>
      <c r="N226">
        <f>M226/43106674.89</f>
        <v>0</v>
      </c>
      <c r="O226" t="str">
        <v>Ongoing</v>
      </c>
    </row>
    <row r="227">
      <c r="A227" t="str">
        <v/>
      </c>
      <c r="B227" t="str">
        <v>1-1/8"</v>
      </c>
      <c r="C227" t="str">
        <v>length/s</v>
      </c>
      <c r="D227">
        <v>5</v>
      </c>
      <c r="E227">
        <v>15566.920000000002</v>
      </c>
      <c r="F227">
        <v>77834.6</v>
      </c>
      <c r="G227">
        <v>0.0018056275553291693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f>K227+L227</f>
        <v>0</v>
      </c>
      <c r="N227">
        <f>M227/43106674.89</f>
        <v>0</v>
      </c>
      <c r="O227" t="str">
        <v>Ongoing</v>
      </c>
    </row>
    <row r="228">
      <c r="A228" t="str">
        <v/>
      </c>
      <c r="B228" t="str">
        <v>1-3/8"</v>
      </c>
      <c r="C228" t="str">
        <v>length/s</v>
      </c>
      <c r="D228">
        <v>3</v>
      </c>
      <c r="E228">
        <v>21015.330000000005</v>
      </c>
      <c r="F228">
        <v>63045.99000000002</v>
      </c>
      <c r="G228">
        <v>0.0014625574846791436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f>K228+L228</f>
        <v>0</v>
      </c>
      <c r="N228">
        <f>M228/43106674.89</f>
        <v>0</v>
      </c>
      <c r="O228" t="str">
        <v>Ongoing</v>
      </c>
    </row>
    <row r="229">
      <c r="A229" t="str">
        <v/>
      </c>
      <c r="B229" t="str">
        <v>1-5/8"</v>
      </c>
      <c r="C229" t="str">
        <v>length/s</v>
      </c>
      <c r="D229">
        <v>7</v>
      </c>
      <c r="E229">
        <v>27039.769999999997</v>
      </c>
      <c r="F229">
        <v>189278.38999999998</v>
      </c>
      <c r="G229">
        <v>0.0043909299541892806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f>K229+L229</f>
        <v>0</v>
      </c>
      <c r="N229">
        <f>M229/43106674.89</f>
        <v>0</v>
      </c>
      <c r="O229" t="str">
        <v>Ongoing</v>
      </c>
    </row>
    <row r="230">
      <c r="A230" t="str">
        <v/>
      </c>
      <c r="B230" t="str">
        <v xml:space="preserve">Copper Pipes Insulation 25mm Thick </v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</row>
    <row r="231">
      <c r="A231" t="str">
        <v/>
      </c>
      <c r="B231" t="str">
        <v>1/4"</v>
      </c>
      <c r="C231" t="str">
        <v>length/s</v>
      </c>
      <c r="D231">
        <v>2</v>
      </c>
      <c r="E231">
        <v>433.56999999999994</v>
      </c>
      <c r="F231">
        <v>867.1399999999999</v>
      </c>
      <c r="G231">
        <v>0.00002011614215693452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>Ongoing</v>
      </c>
    </row>
    <row r="232">
      <c r="A232" t="str">
        <v/>
      </c>
      <c r="B232" t="str">
        <v>3/8"</v>
      </c>
      <c r="C232" t="str">
        <v>length/s</v>
      </c>
      <c r="D232">
        <v>21</v>
      </c>
      <c r="E232">
        <v>441.8299999999999</v>
      </c>
      <c r="F232">
        <v>9278.429999999998</v>
      </c>
      <c r="G232">
        <v>0.0002152434634236293</v>
      </c>
      <c r="H232" t="str">
        <v/>
      </c>
      <c r="I232" t="str">
        <v>length/s</v>
      </c>
      <c r="J232">
        <v>0</v>
      </c>
      <c r="K232">
        <v>0</v>
      </c>
      <c r="L232">
        <v>0</v>
      </c>
      <c r="M232">
        <v>0</v>
      </c>
      <c r="N232">
        <v>0</v>
      </c>
      <c r="O232" t="str">
        <v>Ongoing</v>
      </c>
    </row>
    <row r="233">
      <c r="A233" t="str">
        <v/>
      </c>
      <c r="B233" t="str">
        <v>1/2"</v>
      </c>
      <c r="C233" t="str">
        <v>length/s</v>
      </c>
      <c r="D233">
        <v>4</v>
      </c>
      <c r="E233">
        <v>516.15</v>
      </c>
      <c r="F233">
        <v>2064.6</v>
      </c>
      <c r="G233">
        <v>0.00004789513469244529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f>K233+L233</f>
        <v>0</v>
      </c>
      <c r="N233">
        <f>M233/43106674.89</f>
        <v>0</v>
      </c>
      <c r="O233" t="str">
        <v>Ongoing</v>
      </c>
    </row>
    <row r="234">
      <c r="A234" t="str">
        <v/>
      </c>
      <c r="B234" t="str">
        <v>5/8"</v>
      </c>
      <c r="C234" t="str">
        <v>length/s</v>
      </c>
      <c r="D234">
        <v>27</v>
      </c>
      <c r="E234">
        <v>629.7099999999999</v>
      </c>
      <c r="F234">
        <v>17002.17</v>
      </c>
      <c r="G234">
        <v>0.00039442081866407656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f>K234+L234</f>
        <v>0</v>
      </c>
      <c r="N234">
        <f>M234/43106674.89</f>
        <v>0</v>
      </c>
      <c r="O234" t="str">
        <v>Ongoing</v>
      </c>
    </row>
    <row r="235">
      <c r="A235" t="str">
        <v/>
      </c>
      <c r="B235" t="str">
        <v>3/4"</v>
      </c>
      <c r="C235" t="str">
        <v>length/s</v>
      </c>
      <c r="D235">
        <v>17</v>
      </c>
      <c r="E235">
        <v>708.16</v>
      </c>
      <c r="F235">
        <v>12038.72</v>
      </c>
      <c r="G235">
        <v>0.00027927739800670103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f>K235+L235</f>
        <v>0</v>
      </c>
      <c r="N235">
        <f>M235/43106674.89</f>
        <v>0</v>
      </c>
      <c r="O235" t="str">
        <v>Ongoing</v>
      </c>
    </row>
    <row r="236">
      <c r="A236" t="str">
        <v/>
      </c>
      <c r="B236" t="str">
        <v>7/8"</v>
      </c>
      <c r="C236" t="str">
        <v>length/s</v>
      </c>
      <c r="D236">
        <v>2</v>
      </c>
      <c r="E236">
        <v>784.55</v>
      </c>
      <c r="F236">
        <v>1569.1</v>
      </c>
      <c r="G236">
        <v>0.00003640039515931217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>Ongoing</v>
      </c>
    </row>
    <row r="237">
      <c r="A237" t="str">
        <v/>
      </c>
      <c r="B237" t="str">
        <v>1-1/8"</v>
      </c>
      <c r="C237" t="str">
        <v>length/s</v>
      </c>
      <c r="D237">
        <v>10</v>
      </c>
      <c r="E237">
        <v>846.49</v>
      </c>
      <c r="F237">
        <v>8464.9</v>
      </c>
      <c r="G237">
        <v>0.00019637098016956318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f>K237+L237</f>
        <v>0</v>
      </c>
      <c r="N237">
        <f>M237/43106674.89</f>
        <v>0</v>
      </c>
      <c r="O237" t="str">
        <v>Ongoing</v>
      </c>
    </row>
    <row r="238">
      <c r="A238" t="str">
        <v/>
      </c>
      <c r="B238" t="str">
        <v>1-3/8"</v>
      </c>
      <c r="C238" t="str">
        <v>length/s</v>
      </c>
      <c r="D238">
        <v>5</v>
      </c>
      <c r="E238">
        <v>896.03</v>
      </c>
      <c r="F238">
        <v>4480.15</v>
      </c>
      <c r="G238">
        <v>0.00010393169993817628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f>K238+L238</f>
        <v>0</v>
      </c>
      <c r="N238">
        <f>M238/43106674.89</f>
        <v>0</v>
      </c>
      <c r="O238" t="str">
        <v>Ongoing</v>
      </c>
    </row>
    <row r="239">
      <c r="A239" t="str">
        <v/>
      </c>
      <c r="B239" t="str">
        <v>1-5/8"</v>
      </c>
      <c r="C239" t="str">
        <v>length/s</v>
      </c>
      <c r="D239">
        <v>13</v>
      </c>
      <c r="E239">
        <v>1011.66</v>
      </c>
      <c r="F239">
        <v>13151.58</v>
      </c>
      <c r="G239">
        <v>0.0003050938174554246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f>K239+L239</f>
        <v>0</v>
      </c>
      <c r="N239">
        <f>M239/43106674.89</f>
        <v>0</v>
      </c>
      <c r="O239" t="str">
        <v>Ongoing</v>
      </c>
    </row>
    <row r="240">
      <c r="A240" t="str">
        <v/>
      </c>
      <c r="B240" t="str">
        <v>Copper Pipe Fittings</v>
      </c>
      <c r="C240" t="str">
        <v>lot</v>
      </c>
      <c r="D240">
        <v>1</v>
      </c>
      <c r="E240">
        <v>59135.149999999994</v>
      </c>
      <c r="F240">
        <v>59135.149999999994</v>
      </c>
      <c r="G240">
        <v>0.0013718327880983996</v>
      </c>
      <c r="H240">
        <v>1</v>
      </c>
      <c r="I240" t="str">
        <v>lot</v>
      </c>
      <c r="J240">
        <v>0</v>
      </c>
      <c r="K240">
        <v>0</v>
      </c>
      <c r="L240">
        <v>0</v>
      </c>
      <c r="M240">
        <f>K240+L240</f>
        <v>0</v>
      </c>
      <c r="N240">
        <f>M240/43106674.89</f>
        <v>0</v>
      </c>
      <c r="O240" t="str">
        <v>Ongoing</v>
      </c>
    </row>
    <row r="241">
      <c r="A241" t="str">
        <v/>
      </c>
      <c r="B241" t="str">
        <v>Isolation Ball Valves</v>
      </c>
      <c r="C241" t="str">
        <v>pc/s</v>
      </c>
      <c r="D241">
        <v>20</v>
      </c>
      <c r="E241">
        <v>3207.4800000000005</v>
      </c>
      <c r="F241">
        <v>64149.600000000006</v>
      </c>
      <c r="G241">
        <v>0.0014881593201910726</v>
      </c>
      <c r="H241" t="str">
        <v/>
      </c>
      <c r="I241" t="str">
        <v>pc/s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>Ongoing</v>
      </c>
    </row>
    <row r="242">
      <c r="A242" t="str">
        <v/>
      </c>
      <c r="B242" t="str">
        <v>PVC Cladding Works</v>
      </c>
      <c r="C242" t="str">
        <v>lot</v>
      </c>
      <c r="D242">
        <v>1</v>
      </c>
      <c r="E242">
        <v>19711.72</v>
      </c>
      <c r="F242">
        <v>19711.72</v>
      </c>
      <c r="G242">
        <v>0.0004572776733603447</v>
      </c>
      <c r="H242">
        <v>1</v>
      </c>
      <c r="I242" t="str">
        <v>lot</v>
      </c>
      <c r="J242">
        <v>0</v>
      </c>
      <c r="K242">
        <v>0</v>
      </c>
      <c r="L242">
        <v>0</v>
      </c>
      <c r="M242">
        <f>K242+L242</f>
        <v>0</v>
      </c>
      <c r="N242">
        <f>M242/43106674.89</f>
        <v>0</v>
      </c>
      <c r="O242" t="str">
        <v>Ongoing</v>
      </c>
    </row>
    <row r="243">
      <c r="A243" t="str">
        <v/>
      </c>
      <c r="B243" t="str">
        <v>Concrete Pad</v>
      </c>
      <c r="C243" t="str">
        <v>pcs</v>
      </c>
      <c r="D243">
        <v>3</v>
      </c>
      <c r="E243">
        <v>9622.41</v>
      </c>
      <c r="F243">
        <v>28867.23</v>
      </c>
      <c r="G243">
        <v>0.0006696696062422733</v>
      </c>
      <c r="H243" t="str">
        <v/>
      </c>
      <c r="I243" t="str">
        <v>pcs</v>
      </c>
      <c r="J243">
        <v>0</v>
      </c>
      <c r="K243">
        <v>0</v>
      </c>
      <c r="L243">
        <v>0</v>
      </c>
      <c r="M243">
        <f>K243+L243</f>
        <v>0</v>
      </c>
      <c r="N243">
        <f>M243/43106674.89</f>
        <v>0</v>
      </c>
      <c r="O243" t="str">
        <v>Ongoing</v>
      </c>
    </row>
    <row r="244">
      <c r="A244" t="str">
        <v/>
      </c>
      <c r="B244" t="str">
        <v>Condensate Drain Pipes</v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>
        <v>0</v>
      </c>
      <c r="L244" t="str">
        <v/>
      </c>
      <c r="M244" t="str">
        <v/>
      </c>
      <c r="N244" t="str">
        <v/>
      </c>
      <c r="O244" t="str">
        <v/>
      </c>
    </row>
    <row r="245">
      <c r="A245" t="str">
        <v/>
      </c>
      <c r="B245" t="str">
        <v>32mm dia. uPVC blue pipe PNS 65</v>
      </c>
      <c r="C245" t="str">
        <v>length/s</v>
      </c>
      <c r="D245">
        <v>33</v>
      </c>
      <c r="E245">
        <v>404.15000000000003</v>
      </c>
      <c r="F245">
        <v>13336.95</v>
      </c>
      <c r="G245">
        <v>0.0003093940795487786</v>
      </c>
      <c r="H245" t="str">
        <v/>
      </c>
      <c r="I245" t="str">
        <v>length/s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>Ongoing</v>
      </c>
    </row>
    <row r="246">
      <c r="A246" t="str">
        <v/>
      </c>
      <c r="B246" t="str">
        <v>50mm dia. PVC blue uPVC blue pipe PNS 65</v>
      </c>
      <c r="C246" t="str">
        <v>length/s</v>
      </c>
      <c r="D246">
        <v>12</v>
      </c>
      <c r="E246">
        <v>641.8299999999999</v>
      </c>
      <c r="F246">
        <v>7701.959999999999</v>
      </c>
      <c r="G246">
        <v>0.00017867209706278495</v>
      </c>
      <c r="H246" t="str">
        <v/>
      </c>
      <c r="I246" t="str">
        <v>length/s</v>
      </c>
      <c r="J246">
        <v>0</v>
      </c>
      <c r="K246">
        <v>0</v>
      </c>
      <c r="L246">
        <v>0</v>
      </c>
      <c r="M246">
        <f>K246+L246</f>
        <v>0</v>
      </c>
      <c r="N246">
        <f>M246/43106674.89</f>
        <v>0</v>
      </c>
      <c r="O246" t="str">
        <v>Ongoing</v>
      </c>
    </row>
    <row r="247">
      <c r="A247" t="str">
        <v/>
      </c>
      <c r="B247" t="str">
        <v>Condensate Drain Pipes Rubber Insulation 1.5 meters</v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>
        <v>0</v>
      </c>
      <c r="L247" t="str">
        <v/>
      </c>
      <c r="M247">
        <f>K247+L247</f>
        <v>0</v>
      </c>
      <c r="N247">
        <f>M247/43106674.89</f>
        <v>0</v>
      </c>
      <c r="O247" t="str">
        <v/>
      </c>
    </row>
    <row r="248">
      <c r="A248" t="str">
        <v/>
      </c>
      <c r="B248" t="str">
        <v>3/4'' thick for 32mm pvc</v>
      </c>
      <c r="C248" t="str">
        <v>length/s</v>
      </c>
      <c r="D248">
        <v>66</v>
      </c>
      <c r="E248">
        <v>427.6699999999999</v>
      </c>
      <c r="F248">
        <v>28226.219999999994</v>
      </c>
      <c r="G248">
        <v>0.0006547992873963929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f>K248+L248</f>
        <v>0</v>
      </c>
      <c r="N248">
        <f>M248/43106674.89</f>
        <v>0</v>
      </c>
      <c r="O248" t="str">
        <v>Ongoing</v>
      </c>
    </row>
    <row r="249">
      <c r="A249" t="str">
        <v/>
      </c>
      <c r="B249" t="str">
        <v>3/4'' thick for 50mm pvc</v>
      </c>
      <c r="C249" t="str">
        <v>length/s</v>
      </c>
      <c r="D249">
        <v>23</v>
      </c>
      <c r="E249">
        <v>812.5699999999998</v>
      </c>
      <c r="F249">
        <v>18689.109999999997</v>
      </c>
      <c r="G249">
        <v>0.00043355489718682847</v>
      </c>
      <c r="H249" t="str">
        <v/>
      </c>
      <c r="I249" t="str">
        <v>length/s</v>
      </c>
      <c r="J249">
        <v>0</v>
      </c>
      <c r="K249">
        <v>0</v>
      </c>
      <c r="L249">
        <v>0</v>
      </c>
      <c r="M249">
        <f>K249+L249</f>
        <v>0</v>
      </c>
      <c r="N249">
        <f>M249/43106674.89</f>
        <v>0</v>
      </c>
      <c r="O249" t="str">
        <v>Ongoing</v>
      </c>
    </row>
    <row r="250">
      <c r="A250" t="str">
        <v/>
      </c>
      <c r="B250" t="str">
        <v>Drain Pump</v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>
        <v>0</v>
      </c>
      <c r="L250" t="str">
        <v/>
      </c>
      <c r="M250">
        <f>K250+L250</f>
        <v>0</v>
      </c>
      <c r="N250">
        <f>M250/43106674.89</f>
        <v>0</v>
      </c>
      <c r="O250" t="str">
        <v/>
      </c>
    </row>
    <row r="251">
      <c r="A251" t="str">
        <v/>
      </c>
      <c r="B251" t="str">
        <v xml:space="preserve"> (5.0m pump Lift) Model: BDU513A450VE</v>
      </c>
      <c r="C251" t="str">
        <v>pcs</v>
      </c>
      <c r="D251">
        <v>11</v>
      </c>
      <c r="E251">
        <v>30473.16</v>
      </c>
      <c r="F251">
        <v>335204.76</v>
      </c>
      <c r="G251">
        <v>0.007776168327883753</v>
      </c>
      <c r="H251" t="str">
        <v/>
      </c>
      <c r="I251" t="str">
        <v>pcs</v>
      </c>
      <c r="J251">
        <v>0</v>
      </c>
      <c r="K251">
        <v>0</v>
      </c>
      <c r="L251">
        <v>0</v>
      </c>
      <c r="M251">
        <f>K251+L251</f>
        <v>0</v>
      </c>
      <c r="N251">
        <f>M251/43106674.89</f>
        <v>0</v>
      </c>
      <c r="O251" t="str">
        <v>Ongoing</v>
      </c>
    </row>
    <row r="252">
      <c r="A252" t="str">
        <v/>
      </c>
      <c r="B252" t="str">
        <v>Fittings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>
        <v>0</v>
      </c>
      <c r="L252" t="str">
        <v/>
      </c>
      <c r="M252">
        <f>K252+L252</f>
        <v>0</v>
      </c>
      <c r="N252">
        <f>M252/43106674.89</f>
        <v>0</v>
      </c>
      <c r="O252" t="str">
        <v/>
      </c>
    </row>
    <row r="253">
      <c r="A253" t="str">
        <v/>
      </c>
      <c r="B253" t="str">
        <v>Wye Reducer 50 x 32</v>
      </c>
      <c r="C253" t="str">
        <v>length/s</v>
      </c>
      <c r="D253">
        <v>7</v>
      </c>
      <c r="E253">
        <v>192.45999999999998</v>
      </c>
      <c r="F253">
        <v>1347.2199999999998</v>
      </c>
      <c r="G253">
        <v>0.000031253164467865996</v>
      </c>
      <c r="H253" t="str">
        <v/>
      </c>
      <c r="I253" t="str">
        <v>length/s</v>
      </c>
      <c r="J253">
        <v>0</v>
      </c>
      <c r="K253">
        <v>0</v>
      </c>
      <c r="L253">
        <v>0</v>
      </c>
      <c r="M253">
        <f>K253+L253</f>
        <v>0</v>
      </c>
      <c r="N253">
        <f>M253/43106674.89</f>
        <v>0</v>
      </c>
      <c r="O253" t="str">
        <v>Ongoing</v>
      </c>
    </row>
    <row r="254">
      <c r="A254" t="str">
        <v/>
      </c>
      <c r="B254" t="str">
        <v>Tee 32mm</v>
      </c>
      <c r="C254" t="str">
        <v>length/s</v>
      </c>
      <c r="D254">
        <v>6</v>
      </c>
      <c r="E254">
        <v>53.47</v>
      </c>
      <c r="F254">
        <v>320.82</v>
      </c>
      <c r="G254">
        <v>0.000007442466875922841</v>
      </c>
      <c r="H254" t="str">
        <v/>
      </c>
      <c r="I254" t="str">
        <v>length/s</v>
      </c>
      <c r="J254">
        <v>0</v>
      </c>
      <c r="K254">
        <v>0</v>
      </c>
      <c r="L254">
        <v>0</v>
      </c>
      <c r="M254">
        <f>K254+L254</f>
        <v>0</v>
      </c>
      <c r="N254">
        <f>M254/43106674.89</f>
        <v>0</v>
      </c>
      <c r="O254" t="str">
        <v>Ongoing</v>
      </c>
    </row>
    <row r="255">
      <c r="A255" t="str">
        <v/>
      </c>
      <c r="B255" t="str">
        <v>Elbow 32mm</v>
      </c>
      <c r="C255" t="str">
        <v>length/s</v>
      </c>
      <c r="D255">
        <v>7</v>
      </c>
      <c r="E255">
        <v>43.63</v>
      </c>
      <c r="F255">
        <v>305.41</v>
      </c>
      <c r="G255">
        <v>0.000007084981636355574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f>K255+L255</f>
        <v>0</v>
      </c>
      <c r="N255">
        <f>M255/43106674.89</f>
        <v>0</v>
      </c>
      <c r="O255" t="str">
        <v>Ongoing</v>
      </c>
    </row>
    <row r="256">
      <c r="A256" t="str">
        <v/>
      </c>
      <c r="B256" t="str">
        <v>Cleanout 50mm</v>
      </c>
      <c r="C256" t="str">
        <v>length/s</v>
      </c>
      <c r="D256">
        <v>2</v>
      </c>
      <c r="E256">
        <v>213.84</v>
      </c>
      <c r="F256">
        <v>427.68</v>
      </c>
      <c r="G256">
        <v>0.000009921433306822145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f>K256+L256</f>
        <v>0</v>
      </c>
      <c r="N256">
        <f>M256/43106674.89</f>
        <v>0</v>
      </c>
      <c r="O256" t="str">
        <v>Ongoing</v>
      </c>
    </row>
    <row r="257">
      <c r="A257" t="str">
        <v/>
      </c>
      <c r="B257" t="str">
        <v>RELATED ELECTRICAL WORKS</v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>
        <v>0</v>
      </c>
      <c r="L257" t="str">
        <v/>
      </c>
      <c r="M257">
        <f>K257+L257</f>
        <v>0</v>
      </c>
      <c r="N257">
        <f>M257/43106674.89</f>
        <v>0</v>
      </c>
      <c r="O257" t="str">
        <v/>
      </c>
    </row>
    <row r="258">
      <c r="A258" t="str">
        <v/>
      </c>
      <c r="B258" t="str">
        <v>Rough-ins</v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>
        <v>0</v>
      </c>
      <c r="L258" t="str">
        <v/>
      </c>
      <c r="M258">
        <f>K258+L258</f>
        <v>0</v>
      </c>
      <c r="N258">
        <f>M258/43106674.89</f>
        <v>0</v>
      </c>
      <c r="O258" t="str">
        <v/>
      </c>
    </row>
    <row r="259">
      <c r="A259" t="str">
        <v/>
      </c>
      <c r="B259" t="str">
        <v>liquid-tight metallic flexible conduits 1-1/2"</v>
      </c>
      <c r="C259" t="str">
        <v>m</v>
      </c>
      <c r="D259">
        <v>78</v>
      </c>
      <c r="E259">
        <v>404.15</v>
      </c>
      <c r="F259">
        <v>31523.699999999997</v>
      </c>
      <c r="G259">
        <v>0.0007312950971152947</v>
      </c>
      <c r="H259" t="str">
        <v/>
      </c>
      <c r="I259" t="str">
        <v>m</v>
      </c>
      <c r="J259">
        <v>0</v>
      </c>
      <c r="K259">
        <v>0</v>
      </c>
      <c r="L259">
        <v>0</v>
      </c>
      <c r="M259">
        <f>K259+L259</f>
        <v>0</v>
      </c>
      <c r="N259">
        <f>M259/43106674.89</f>
        <v>0</v>
      </c>
      <c r="O259" t="str">
        <v>Ongoing</v>
      </c>
    </row>
    <row r="260">
      <c r="A260" t="str">
        <v/>
      </c>
      <c r="B260" t="str">
        <v>Metallic Flexible Conduit 20mm</v>
      </c>
      <c r="C260" t="str">
        <v>m</v>
      </c>
      <c r="D260">
        <v>444</v>
      </c>
      <c r="E260">
        <v>65.86999999999999</v>
      </c>
      <c r="F260">
        <v>29246.279999999995</v>
      </c>
      <c r="G260">
        <v>0.0006784629079981442</v>
      </c>
      <c r="H260" t="str">
        <v/>
      </c>
      <c r="I260" t="str">
        <v>m</v>
      </c>
      <c r="J260">
        <v>0</v>
      </c>
      <c r="K260">
        <v>0</v>
      </c>
      <c r="L260">
        <v>0</v>
      </c>
      <c r="M260">
        <v>0</v>
      </c>
      <c r="N260">
        <v>0</v>
      </c>
      <c r="O260" t="str">
        <v>Ongoing</v>
      </c>
    </row>
    <row r="261">
      <c r="A261" t="str">
        <v/>
      </c>
      <c r="B261" t="str">
        <v>Metallic Flexible Conduit Connector 20mm</v>
      </c>
      <c r="C261" t="str">
        <v>pcs</v>
      </c>
      <c r="D261">
        <v>26</v>
      </c>
      <c r="E261">
        <v>32.09</v>
      </c>
      <c r="F261">
        <v>834.3400000000001</v>
      </c>
      <c r="G261">
        <v>0.000019355239116194327</v>
      </c>
      <c r="H261" t="str">
        <v/>
      </c>
      <c r="I261" t="str">
        <v>pcs</v>
      </c>
      <c r="J261">
        <v>0</v>
      </c>
      <c r="K261">
        <v>0</v>
      </c>
      <c r="L261">
        <v>0</v>
      </c>
      <c r="M261">
        <f>K261+L261</f>
        <v>0</v>
      </c>
      <c r="N261">
        <f>M261/43106674.89</f>
        <v>0</v>
      </c>
      <c r="O261" t="str">
        <v>Ongoing</v>
      </c>
    </row>
    <row r="262">
      <c r="A262" t="str">
        <v/>
      </c>
      <c r="B262" t="str">
        <v>Cables / Wires</v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>
        <v>0</v>
      </c>
      <c r="L262" t="str">
        <v/>
      </c>
      <c r="M262" t="str">
        <v/>
      </c>
      <c r="N262" t="str">
        <v/>
      </c>
      <c r="O262" t="str">
        <v/>
      </c>
    </row>
    <row r="263">
      <c r="A263" t="str">
        <v/>
      </c>
      <c r="B263" t="str">
        <v>Communication wire (PD Royal Cord 0.75mm/2C)</v>
      </c>
      <c r="C263" t="str">
        <v>m</v>
      </c>
      <c r="D263">
        <v>291</v>
      </c>
      <c r="E263">
        <v>80.84</v>
      </c>
      <c r="F263">
        <v>23524.440000000002</v>
      </c>
      <c r="G263">
        <v>0.00054572615633263</v>
      </c>
      <c r="H263" t="str">
        <v/>
      </c>
      <c r="I263" t="str">
        <v>m</v>
      </c>
      <c r="J263">
        <v>0</v>
      </c>
      <c r="K263">
        <v>0</v>
      </c>
      <c r="L263">
        <v>0</v>
      </c>
      <c r="M263">
        <f>K263+L263</f>
        <v>0</v>
      </c>
      <c r="N263">
        <f>M263/43106674.89</f>
        <v>0</v>
      </c>
      <c r="O263" t="str">
        <v>Ongoing</v>
      </c>
    </row>
    <row r="264">
      <c r="A264" t="str">
        <v/>
      </c>
      <c r="B264" t="str">
        <v>Wire 3.5mm² THHN (5 meters per Unit)</v>
      </c>
      <c r="C264" t="str">
        <v>m</v>
      </c>
      <c r="D264">
        <v>63</v>
      </c>
      <c r="E264">
        <v>78.49</v>
      </c>
      <c r="F264">
        <v>4944.87</v>
      </c>
      <c r="G264">
        <v>0.00011471239692271236</v>
      </c>
      <c r="H264" t="str">
        <v/>
      </c>
      <c r="I264" t="str">
        <v>m</v>
      </c>
      <c r="J264">
        <v>0</v>
      </c>
      <c r="K264">
        <v>0</v>
      </c>
      <c r="L264">
        <v>0</v>
      </c>
      <c r="M264">
        <v>0</v>
      </c>
      <c r="N264">
        <v>0</v>
      </c>
      <c r="O264" t="str">
        <v>Ongoing</v>
      </c>
    </row>
    <row r="265">
      <c r="A265" t="str">
        <v/>
      </c>
      <c r="B265" t="str">
        <v>Wire 5.5mm² THHN (5 meters per Unit)</v>
      </c>
      <c r="C265" t="str">
        <v>m</v>
      </c>
      <c r="D265">
        <v>26</v>
      </c>
      <c r="E265">
        <v>120.11</v>
      </c>
      <c r="F265">
        <v>3122.86</v>
      </c>
      <c r="G265">
        <v>0.00007244492895749768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f>K265+L265</f>
        <v>0</v>
      </c>
      <c r="N265">
        <f>M265/43106674.89</f>
        <v>0</v>
      </c>
      <c r="O265" t="str">
        <v>Ongoing</v>
      </c>
    </row>
    <row r="266">
      <c r="A266" t="str">
        <v/>
      </c>
      <c r="B266" t="str">
        <v>Wire 30.0mm² THHN (5 meters per Unit)</v>
      </c>
      <c r="C266" t="str">
        <v>m</v>
      </c>
      <c r="D266">
        <v>59</v>
      </c>
      <c r="E266">
        <v>789.47</v>
      </c>
      <c r="F266">
        <v>46578.73</v>
      </c>
      <c r="G266">
        <v>0.0010805456491102597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>Ongoing</v>
      </c>
    </row>
    <row r="267">
      <c r="A267" t="str">
        <v/>
      </c>
      <c r="B267" t="str">
        <v>for ground:</v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>
        <v>0</v>
      </c>
      <c r="L267" t="str">
        <v/>
      </c>
      <c r="M267" t="str">
        <v/>
      </c>
      <c r="N267" t="str">
        <v/>
      </c>
      <c r="O267" t="str">
        <v/>
      </c>
    </row>
    <row r="268">
      <c r="A268" t="str">
        <v/>
      </c>
      <c r="B268" t="str">
        <v>Wire 3.5mm² THHN (G) (5 meters per Unit)</v>
      </c>
      <c r="C268" t="str">
        <v>m</v>
      </c>
      <c r="D268">
        <v>65</v>
      </c>
      <c r="E268">
        <v>78.49</v>
      </c>
      <c r="F268">
        <v>5101.849999999999</v>
      </c>
      <c r="G268">
        <v>0.00011835406031708417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f>K268+L268</f>
        <v>0</v>
      </c>
      <c r="N268">
        <f>M268/43106674.89</f>
        <v>0</v>
      </c>
      <c r="O268" t="str">
        <v>Ongoing</v>
      </c>
    </row>
    <row r="269">
      <c r="A269" t="str">
        <v/>
      </c>
      <c r="B269" t="str">
        <v>Wire 8.0mm² THHN (G) (5 meters per Unit)</v>
      </c>
      <c r="C269" t="str">
        <v>m</v>
      </c>
      <c r="D269">
        <v>20</v>
      </c>
      <c r="E269">
        <v>187.88</v>
      </c>
      <c r="F269">
        <v>3757.6</v>
      </c>
      <c r="G269">
        <v>0.00008716979469162666</v>
      </c>
      <c r="H269" t="str">
        <v/>
      </c>
      <c r="I269" t="str">
        <v>m</v>
      </c>
      <c r="J269">
        <v>0</v>
      </c>
      <c r="K269">
        <v>0</v>
      </c>
      <c r="L269">
        <v>0</v>
      </c>
      <c r="M269">
        <f>K269+L269</f>
        <v>0</v>
      </c>
      <c r="N269">
        <f>M269/43106674.89</f>
        <v>0</v>
      </c>
      <c r="O269" t="str">
        <v>Ongoing</v>
      </c>
    </row>
    <row r="270">
      <c r="A270" t="str">
        <v>III.B</v>
      </c>
      <c r="B270" t="str">
        <v>CONSUMABLES</v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>
        <v>0</v>
      </c>
      <c r="L270" t="str">
        <v/>
      </c>
      <c r="M270">
        <f>K270+L270</f>
        <v>0</v>
      </c>
      <c r="N270">
        <f>M270/43106674.89</f>
        <v>0</v>
      </c>
      <c r="O270" t="str">
        <v/>
      </c>
    </row>
    <row r="271">
      <c r="A271" t="str">
        <v/>
      </c>
      <c r="B271" t="str">
        <v>Vibration Isolator</v>
      </c>
      <c r="C271" t="str">
        <v>pcs</v>
      </c>
      <c r="D271">
        <v>20</v>
      </c>
      <c r="E271">
        <v>1389.91</v>
      </c>
      <c r="F271">
        <v>27798.2</v>
      </c>
      <c r="G271">
        <v>0.0006448699666800023</v>
      </c>
      <c r="H271" t="str">
        <v/>
      </c>
      <c r="I271" t="str">
        <v>pcs</v>
      </c>
      <c r="J271">
        <v>0</v>
      </c>
      <c r="K271">
        <v>0</v>
      </c>
      <c r="L271">
        <v>0</v>
      </c>
      <c r="M271">
        <f>K271+L271</f>
        <v>0</v>
      </c>
      <c r="N271">
        <f>M271/43106674.89</f>
        <v>0</v>
      </c>
      <c r="O271" t="str">
        <v>Ongoing</v>
      </c>
    </row>
    <row r="272">
      <c r="A272" t="str">
        <v/>
      </c>
      <c r="B272" t="str">
        <v>Angle Bar, 2x2x 1/4 (6 meters)</v>
      </c>
      <c r="C272" t="str">
        <v>length/s</v>
      </c>
      <c r="D272">
        <v>7</v>
      </c>
      <c r="E272">
        <v>2523.2200000000003</v>
      </c>
      <c r="F272">
        <v>17662.54</v>
      </c>
      <c r="G272">
        <v>0.00040974025589010106</v>
      </c>
      <c r="H272" t="str">
        <v/>
      </c>
      <c r="I272" t="str">
        <v>length/s</v>
      </c>
      <c r="J272">
        <v>0</v>
      </c>
      <c r="K272">
        <v>0</v>
      </c>
      <c r="L272">
        <v>0</v>
      </c>
      <c r="M272">
        <v>0</v>
      </c>
      <c r="N272">
        <v>0</v>
      </c>
      <c r="O272" t="str">
        <v>Ongoing</v>
      </c>
    </row>
    <row r="273">
      <c r="A273" t="str">
        <v/>
      </c>
      <c r="B273" t="str">
        <v>Rugby</v>
      </c>
      <c r="C273" t="str">
        <v>bottle</v>
      </c>
      <c r="D273">
        <v>15</v>
      </c>
      <c r="E273">
        <v>277.99</v>
      </c>
      <c r="F273">
        <v>4169.85</v>
      </c>
      <c r="G273">
        <v>0.00009673327879361281</v>
      </c>
      <c r="H273" t="str">
        <v/>
      </c>
      <c r="I273" t="str">
        <v>bottle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>Ongoing</v>
      </c>
    </row>
    <row r="274">
      <c r="A274" t="str">
        <v/>
      </c>
      <c r="B274" t="str">
        <v>White Tape</v>
      </c>
      <c r="C274" t="str">
        <v>rolls</v>
      </c>
      <c r="D274">
        <v>30</v>
      </c>
      <c r="E274">
        <v>374.21999999999997</v>
      </c>
      <c r="F274">
        <v>11226.599999999999</v>
      </c>
      <c r="G274">
        <v>0.0002604376243040813</v>
      </c>
      <c r="H274" t="str">
        <v/>
      </c>
      <c r="I274" t="str">
        <v>rolls</v>
      </c>
      <c r="J274">
        <v>0</v>
      </c>
      <c r="K274">
        <v>0</v>
      </c>
      <c r="L274">
        <v>0</v>
      </c>
      <c r="M274">
        <f>K274+L274</f>
        <v>0</v>
      </c>
      <c r="N274">
        <f>M274/43106674.89</f>
        <v>0</v>
      </c>
      <c r="O274" t="str">
        <v>Ongoing</v>
      </c>
    </row>
    <row r="275">
      <c r="A275" t="str">
        <v/>
      </c>
      <c r="B275" t="str">
        <v>Threaded rod 3/8 (6 meters)</v>
      </c>
      <c r="C275" t="str">
        <v>length/s</v>
      </c>
      <c r="D275">
        <v>65</v>
      </c>
      <c r="E275">
        <v>171.07</v>
      </c>
      <c r="F275">
        <v>11119.55</v>
      </c>
      <c r="G275">
        <v>0.00025795425020312896</v>
      </c>
      <c r="H275" t="str">
        <v/>
      </c>
      <c r="I275" t="str">
        <v>length/s</v>
      </c>
      <c r="J275">
        <v>0</v>
      </c>
      <c r="K275">
        <v>0</v>
      </c>
      <c r="L275">
        <v>0</v>
      </c>
      <c r="M275">
        <f>K275+L275</f>
        <v>0</v>
      </c>
      <c r="N275">
        <f>M275/43106674.89</f>
        <v>0</v>
      </c>
      <c r="O275" t="str">
        <v>Ongoing</v>
      </c>
    </row>
    <row r="276">
      <c r="A276" t="str">
        <v/>
      </c>
      <c r="B276" t="str">
        <v>Nuts and washer 3/8</v>
      </c>
      <c r="C276" t="str">
        <v>pcs</v>
      </c>
      <c r="D276">
        <v>32</v>
      </c>
      <c r="E276">
        <v>21.39</v>
      </c>
      <c r="F276">
        <v>684.48</v>
      </c>
      <c r="G276">
        <v>0.000015878747357495374</v>
      </c>
      <c r="H276" t="str">
        <v/>
      </c>
      <c r="I276" t="str">
        <v>pcs</v>
      </c>
      <c r="J276">
        <v>0</v>
      </c>
      <c r="K276">
        <v>0</v>
      </c>
      <c r="L276">
        <v>0</v>
      </c>
      <c r="M276">
        <f>K276+L276</f>
        <v>0</v>
      </c>
      <c r="N276">
        <f>M276/43106674.89</f>
        <v>0</v>
      </c>
      <c r="O276" t="str">
        <v>Ongoing</v>
      </c>
    </row>
    <row r="277">
      <c r="A277" t="str">
        <v/>
      </c>
      <c r="B277" t="str">
        <v>Grip Anchor 3/8</v>
      </c>
      <c r="C277" t="str">
        <v>pcs</v>
      </c>
      <c r="D277">
        <v>32</v>
      </c>
      <c r="E277">
        <v>10.699999999999998</v>
      </c>
      <c r="F277">
        <v>342.3999999999999</v>
      </c>
      <c r="G277">
        <v>0.000007943085400897639</v>
      </c>
      <c r="H277" t="str">
        <v/>
      </c>
      <c r="I277" t="str">
        <v>pcs</v>
      </c>
      <c r="J277">
        <v>0</v>
      </c>
      <c r="K277">
        <v>0</v>
      </c>
      <c r="L277">
        <v>0</v>
      </c>
      <c r="M277">
        <f>K277+L277</f>
        <v>0</v>
      </c>
      <c r="N277">
        <f>M277/43106674.89</f>
        <v>0</v>
      </c>
      <c r="O277" t="str">
        <v>Ongoing</v>
      </c>
    </row>
    <row r="278">
      <c r="A278" t="str">
        <v/>
      </c>
      <c r="B278" t="str">
        <v>Paint (Red Oxide)</v>
      </c>
      <c r="C278" t="str">
        <v>gallon</v>
      </c>
      <c r="D278">
        <v>1</v>
      </c>
      <c r="E278">
        <v>3432</v>
      </c>
      <c r="F278">
        <v>3432</v>
      </c>
      <c r="G278">
        <v>0.000079616440116474</v>
      </c>
      <c r="H278" t="str">
        <v/>
      </c>
      <c r="I278" t="str">
        <v>gallon</v>
      </c>
      <c r="J278">
        <v>0</v>
      </c>
      <c r="K278">
        <v>0</v>
      </c>
      <c r="L278">
        <v>0</v>
      </c>
      <c r="M278">
        <f>K278+L278</f>
        <v>0</v>
      </c>
      <c r="N278">
        <f>M278/43106674.89</f>
        <v>0</v>
      </c>
      <c r="O278" t="str">
        <v>Ongoing</v>
      </c>
    </row>
    <row r="279">
      <c r="A279" t="str">
        <v/>
      </c>
      <c r="B279" t="str">
        <v>Loop Hangers</v>
      </c>
      <c r="C279" t="str">
        <v>pcs</v>
      </c>
      <c r="D279">
        <v>244</v>
      </c>
      <c r="E279">
        <v>42.780000000000015</v>
      </c>
      <c r="F279">
        <v>10438.320000000003</v>
      </c>
      <c r="G279">
        <v>0.00024215089720180455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f>K279+L279</f>
        <v>0</v>
      </c>
      <c r="N279">
        <f>M279/43106674.89</f>
        <v>0</v>
      </c>
      <c r="O279" t="str">
        <v>Ongoing</v>
      </c>
    </row>
    <row r="280">
      <c r="A280" t="str">
        <v/>
      </c>
      <c r="B280" t="str">
        <v>Freon</v>
      </c>
      <c r="C280" t="str">
        <v>tank</v>
      </c>
      <c r="D280">
        <v>5</v>
      </c>
      <c r="E280">
        <v>14497.769999999999</v>
      </c>
      <c r="F280">
        <v>72488.84999999999</v>
      </c>
      <c r="G280">
        <v>0.0016816154385597513</v>
      </c>
      <c r="H280" t="str">
        <v/>
      </c>
      <c r="I280" t="str">
        <v>tank</v>
      </c>
      <c r="J280">
        <v>0</v>
      </c>
      <c r="K280">
        <v>0</v>
      </c>
      <c r="L280">
        <v>0</v>
      </c>
      <c r="M280">
        <f>K280+L280</f>
        <v>0</v>
      </c>
      <c r="N280">
        <f>M280/43106674.89</f>
        <v>0</v>
      </c>
      <c r="O280" t="str">
        <v>Ongoing</v>
      </c>
    </row>
    <row r="281">
      <c r="A281" t="str">
        <v/>
      </c>
      <c r="B281" t="str">
        <v>Nitrogen</v>
      </c>
      <c r="C281" t="str">
        <v>tank</v>
      </c>
      <c r="D281">
        <v>3</v>
      </c>
      <c r="E281">
        <v>18175.66</v>
      </c>
      <c r="F281">
        <v>54526.979999999996</v>
      </c>
      <c r="G281">
        <v>0.001264931246474993</v>
      </c>
      <c r="H281" t="str">
        <v/>
      </c>
      <c r="I281" t="str">
        <v>tank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>Ongoing</v>
      </c>
    </row>
    <row r="282">
      <c r="A282" t="str">
        <v/>
      </c>
      <c r="B282" t="str">
        <v>Mapp Gas</v>
      </c>
      <c r="C282" t="str">
        <v>tank</v>
      </c>
      <c r="D282">
        <v>8</v>
      </c>
      <c r="E282">
        <v>812.5699999999999</v>
      </c>
      <c r="F282">
        <v>6500.5599999999995</v>
      </c>
      <c r="G282">
        <v>0.00015080170336933166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>Ongoing</v>
      </c>
    </row>
    <row r="283">
      <c r="A283" t="str">
        <v/>
      </c>
      <c r="B283" t="str">
        <v>Silver Rod</v>
      </c>
      <c r="C283" t="str">
        <v>pcs</v>
      </c>
      <c r="D283">
        <v>98</v>
      </c>
      <c r="E283">
        <v>53.46999999999999</v>
      </c>
      <c r="F283">
        <v>5240.0599999999995</v>
      </c>
      <c r="G283">
        <v>0.00012156029230673973</v>
      </c>
      <c r="H283" t="str">
        <v/>
      </c>
      <c r="I283" t="str">
        <v>pcs</v>
      </c>
      <c r="J283">
        <v>0</v>
      </c>
      <c r="K283">
        <v>0</v>
      </c>
      <c r="L283">
        <v>0</v>
      </c>
      <c r="M283">
        <f>K283+L283</f>
        <v>0</v>
      </c>
      <c r="N283">
        <f>M283/43106674.89</f>
        <v>0</v>
      </c>
      <c r="O283" t="str">
        <v>Ongoing</v>
      </c>
    </row>
    <row r="284">
      <c r="A284" t="str">
        <v/>
      </c>
      <c r="B284" t="str">
        <v>Paint Brush</v>
      </c>
      <c r="C284" t="str">
        <v>pcs</v>
      </c>
      <c r="D284">
        <v>1</v>
      </c>
      <c r="E284">
        <v>213.84</v>
      </c>
      <c r="F284">
        <v>213.84</v>
      </c>
      <c r="G284">
        <v>0.000004960716653411073</v>
      </c>
      <c r="H284" t="str">
        <v/>
      </c>
      <c r="I284" t="str">
        <v>pcs</v>
      </c>
      <c r="J284">
        <v>0</v>
      </c>
      <c r="K284">
        <v>0</v>
      </c>
      <c r="L284">
        <v>0</v>
      </c>
      <c r="M284">
        <f>K284+L284</f>
        <v>0</v>
      </c>
      <c r="N284">
        <f>M284/43106674.89</f>
        <v>0</v>
      </c>
      <c r="O284" t="str">
        <v>Ongoing</v>
      </c>
    </row>
    <row r="285">
      <c r="A285" t="str">
        <v>III.C</v>
      </c>
      <c r="B285" t="str">
        <v>CHIPPING &amp; RESTORATION (ROUGH-ONLY)</v>
      </c>
      <c r="C285" t="str">
        <v>lot</v>
      </c>
      <c r="D285">
        <v>1</v>
      </c>
      <c r="E285">
        <v>737348.8400000002</v>
      </c>
      <c r="F285">
        <v>737348.8400000002</v>
      </c>
      <c r="G285">
        <v>0.017105212635434613</v>
      </c>
      <c r="H285">
        <v>1</v>
      </c>
      <c r="I285" t="str">
        <v>lot</v>
      </c>
      <c r="J285">
        <v>0</v>
      </c>
      <c r="K285">
        <v>0</v>
      </c>
      <c r="L285">
        <v>0</v>
      </c>
      <c r="M285">
        <f>K285+L285</f>
        <v>0</v>
      </c>
      <c r="N285">
        <f>M285/43106674.89</f>
        <v>0</v>
      </c>
      <c r="O285" t="str">
        <v>Ongoing</v>
      </c>
    </row>
    <row r="286">
      <c r="A286" t="str">
        <v>III.D</v>
      </c>
      <c r="B286" t="str">
        <v>MISCELLANEOUS</v>
      </c>
      <c r="C286" t="str">
        <v>lot</v>
      </c>
      <c r="D286">
        <v>1</v>
      </c>
      <c r="E286">
        <v>5010.49</v>
      </c>
      <c r="F286">
        <v>5010.49</v>
      </c>
      <c r="G286">
        <v>0.00011623466696946148</v>
      </c>
      <c r="H286">
        <v>1</v>
      </c>
      <c r="I286" t="str">
        <v>lot</v>
      </c>
      <c r="J286">
        <v>0</v>
      </c>
      <c r="K286">
        <v>0</v>
      </c>
      <c r="L286">
        <v>0</v>
      </c>
      <c r="M286">
        <f>K286+L286</f>
        <v>0</v>
      </c>
      <c r="N286">
        <f>M286/43106674.89</f>
        <v>0</v>
      </c>
      <c r="O286" t="str">
        <v>Ongoing</v>
      </c>
    </row>
    <row r="287">
      <c r="A287" t="str">
        <v>III.E</v>
      </c>
      <c r="B287" t="str">
        <v>TESTING &amp; COMMISSIONING</v>
      </c>
      <c r="C287" t="str">
        <v>lot</v>
      </c>
      <c r="D287">
        <v>1</v>
      </c>
      <c r="E287">
        <v>38342.14</v>
      </c>
      <c r="F287">
        <v>38342.14</v>
      </c>
      <c r="G287">
        <v>0.0008894710644660439</v>
      </c>
      <c r="H287">
        <v>1</v>
      </c>
      <c r="I287" t="str">
        <v>lot</v>
      </c>
      <c r="J287">
        <v>0</v>
      </c>
      <c r="K287">
        <v>0</v>
      </c>
      <c r="L287">
        <v>0</v>
      </c>
      <c r="M287">
        <f>K287+L287</f>
        <v>0</v>
      </c>
      <c r="N287">
        <f>M287/43106674.89</f>
        <v>0</v>
      </c>
      <c r="O287" t="str">
        <v>Ongoing</v>
      </c>
    </row>
    <row r="288">
      <c r="A288" t="str">
        <v>IV.A</v>
      </c>
      <c r="B288" t="str">
        <v>AIR CONDITIONING- VRV SYSTEM D</v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>
        <v>0</v>
      </c>
      <c r="L288" t="str">
        <v/>
      </c>
      <c r="M288">
        <f>K288+L288</f>
        <v>0</v>
      </c>
      <c r="N288">
        <f>M288/43106674.89</f>
        <v>0</v>
      </c>
      <c r="O288" t="str">
        <v/>
      </c>
    </row>
    <row r="289">
      <c r="A289" t="str">
        <v/>
      </c>
      <c r="B289" t="str">
        <v>ACCU- Model: RXQ20BYM</v>
      </c>
      <c r="C289" t="str">
        <v>units</v>
      </c>
      <c r="D289">
        <v>3</v>
      </c>
      <c r="E289">
        <v>789317.19</v>
      </c>
      <c r="F289">
        <v>2367951.57</v>
      </c>
      <c r="G289">
        <v>0.054932364327393825</v>
      </c>
      <c r="H289" t="str">
        <v/>
      </c>
      <c r="I289" t="str">
        <v>units</v>
      </c>
      <c r="J289">
        <v>0</v>
      </c>
      <c r="K289">
        <v>0</v>
      </c>
      <c r="L289">
        <v>0</v>
      </c>
      <c r="M289">
        <f>K289+L289</f>
        <v>0</v>
      </c>
      <c r="N289">
        <f>M289/43106674.89</f>
        <v>0</v>
      </c>
      <c r="O289" t="str">
        <v>Ongoing</v>
      </c>
    </row>
    <row r="290">
      <c r="A290" t="str">
        <v/>
      </c>
      <c r="B290" t="str">
        <v>FCU- 2 HP Wall Mounted VRF C (Storage Room, OR No. 8 Ortho, NSS/Pay, OR No. 9 Plastic Surgery (2) ) Model: FXAQ50BVM</v>
      </c>
      <c r="C290" t="str">
        <v>units</v>
      </c>
      <c r="D290">
        <v>6</v>
      </c>
      <c r="E290">
        <v>55087.33999999999</v>
      </c>
      <c r="F290">
        <v>330524.0399999999</v>
      </c>
      <c r="G290">
        <v>0.007667583752247976</v>
      </c>
      <c r="H290" t="str">
        <v/>
      </c>
      <c r="I290" t="str">
        <v>units</v>
      </c>
      <c r="J290">
        <v>0</v>
      </c>
      <c r="K290">
        <v>0</v>
      </c>
      <c r="L290">
        <v>0</v>
      </c>
      <c r="M290">
        <f>K290+L290</f>
        <v>0</v>
      </c>
      <c r="N290">
        <f>M290/43106674.89</f>
        <v>0</v>
      </c>
      <c r="O290" t="str">
        <v>Ongoing</v>
      </c>
    </row>
    <row r="291">
      <c r="A291" t="str">
        <v/>
      </c>
      <c r="B291" t="str">
        <v>FCU- 2.5HP Wall Mounted VRF C (OR No. 4,  Euro- Endo (2), OR No. 7 Ortho, OR. 12 Pedia,  OR No. 10 Pay) Model: FXAQ63BVM</v>
      </c>
      <c r="C291" t="str">
        <v>units</v>
      </c>
      <c r="D291">
        <v>4</v>
      </c>
      <c r="E291">
        <v>56222.86</v>
      </c>
      <c r="F291">
        <v>224891.44</v>
      </c>
      <c r="G291">
        <v>0.0052170908698914945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f>K291+L291</f>
        <v>0</v>
      </c>
      <c r="N291">
        <f>M291/43106674.89</f>
        <v>0</v>
      </c>
      <c r="O291" t="str">
        <v>Ongoing</v>
      </c>
    </row>
    <row r="292">
      <c r="A292" t="str">
        <v/>
      </c>
      <c r="B292" t="str">
        <v>FCU- 6HP ceiling Cassette VRF C (Corridor near Ortho, Corridor near OR. No. 10, Corridor near NSS/Pay) Model: FXFQ140AVM</v>
      </c>
      <c r="C292" t="str">
        <v>units</v>
      </c>
      <c r="D292">
        <v>2</v>
      </c>
      <c r="E292">
        <v>87530.69</v>
      </c>
      <c r="F292">
        <v>175061.38</v>
      </c>
      <c r="G292">
        <v>0.004061120010919959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>Ongoing</v>
      </c>
    </row>
    <row r="293">
      <c r="A293" t="str">
        <v/>
      </c>
      <c r="B293" t="str">
        <v>Accessories:</v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>
        <v>0</v>
      </c>
      <c r="L293" t="str">
        <v/>
      </c>
      <c r="M293" t="str">
        <v/>
      </c>
      <c r="N293" t="str">
        <v/>
      </c>
      <c r="O293" t="str">
        <v/>
      </c>
    </row>
    <row r="294">
      <c r="A294" t="str">
        <v/>
      </c>
      <c r="B294" t="str">
        <v>Wired Remote Controller Model: BRC1E63</v>
      </c>
      <c r="C294" t="str">
        <v>units</v>
      </c>
      <c r="D294">
        <v>12</v>
      </c>
      <c r="E294">
        <v>11760.720000000001</v>
      </c>
      <c r="F294">
        <v>141128.64</v>
      </c>
      <c r="G294">
        <v>0.00327393936925391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f>K294+L294</f>
        <v>0</v>
      </c>
      <c r="N294">
        <f>M294/43106674.89</f>
        <v>0</v>
      </c>
      <c r="O294" t="str">
        <v>Ongoing</v>
      </c>
    </row>
    <row r="295">
      <c r="A295" t="str">
        <v/>
      </c>
      <c r="B295" t="str">
        <v>Standard panel(Fresh white) Model: BYCQ125EAF</v>
      </c>
      <c r="C295" t="str">
        <v>units</v>
      </c>
      <c r="D295">
        <v>2</v>
      </c>
      <c r="E295">
        <v>22345.370000000003</v>
      </c>
      <c r="F295">
        <v>44690.740000000005</v>
      </c>
      <c r="G295">
        <v>0.0010367475597234585</v>
      </c>
      <c r="H295" t="str">
        <v/>
      </c>
      <c r="I295" t="str">
        <v>units</v>
      </c>
      <c r="J295">
        <v>0</v>
      </c>
      <c r="K295">
        <v>0</v>
      </c>
      <c r="L295">
        <v>0</v>
      </c>
      <c r="M295">
        <f>K295+L295</f>
        <v>0</v>
      </c>
      <c r="N295">
        <f>M295/43106674.89</f>
        <v>0</v>
      </c>
      <c r="O295" t="str">
        <v>Ongoing</v>
      </c>
    </row>
    <row r="296">
      <c r="A296" t="str">
        <v/>
      </c>
      <c r="B296" t="str">
        <v>Refnet Joints Model: KHRP26A22T</v>
      </c>
      <c r="C296" t="str">
        <v>units</v>
      </c>
      <c r="D296">
        <v>4</v>
      </c>
      <c r="E296">
        <v>4351.47</v>
      </c>
      <c r="F296">
        <v>17405.88</v>
      </c>
      <c r="G296">
        <v>0.00040378618959630903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f>K296+L296</f>
        <v>0</v>
      </c>
      <c r="N296">
        <f>M296/43106674.89</f>
        <v>0</v>
      </c>
      <c r="O296" t="str">
        <v>Ongoing</v>
      </c>
    </row>
    <row r="297">
      <c r="A297" t="str">
        <v/>
      </c>
      <c r="B297" t="str">
        <v>Refnet Joints Model: KHRP26A33T</v>
      </c>
      <c r="C297" t="str">
        <v>units</v>
      </c>
      <c r="D297">
        <v>1</v>
      </c>
      <c r="E297">
        <v>4939.510000000001</v>
      </c>
      <c r="F297">
        <v>4939.510000000001</v>
      </c>
      <c r="G297">
        <v>0.00011458805423068899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f>K297+L297</f>
        <v>0</v>
      </c>
      <c r="N297">
        <f>M297/43106674.89</f>
        <v>0</v>
      </c>
      <c r="O297" t="str">
        <v>Ongoing</v>
      </c>
    </row>
    <row r="298">
      <c r="A298" t="str">
        <v/>
      </c>
      <c r="B298" t="str">
        <v>Refnet Joints Model: KHRP26A72T</v>
      </c>
      <c r="C298" t="str">
        <v>units</v>
      </c>
      <c r="D298">
        <v>3</v>
      </c>
      <c r="E298">
        <v>8232.51</v>
      </c>
      <c r="F298">
        <v>24697.53</v>
      </c>
      <c r="G298">
        <v>0.0005729398071881761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f>K298+L298</f>
        <v>0</v>
      </c>
      <c r="N298">
        <f>M298/43106674.89</f>
        <v>0</v>
      </c>
      <c r="O298" t="str">
        <v>Ongoing</v>
      </c>
    </row>
    <row r="299">
      <c r="A299" t="str">
        <v/>
      </c>
      <c r="B299" t="str">
        <v xml:space="preserve">Refnet Joints Model: KHRP26A73T </v>
      </c>
      <c r="C299" t="str">
        <v>units</v>
      </c>
      <c r="D299">
        <v>3</v>
      </c>
      <c r="E299">
        <v>14112.87</v>
      </c>
      <c r="F299">
        <v>42338.61</v>
      </c>
      <c r="G299">
        <v>0.0009821822283449149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f>K299+L299</f>
        <v>0</v>
      </c>
      <c r="N299">
        <f>M299/43106674.89</f>
        <v>0</v>
      </c>
      <c r="O299" t="str">
        <v>Ongoing</v>
      </c>
    </row>
    <row r="300">
      <c r="A300" t="str">
        <v/>
      </c>
      <c r="B300" t="str">
        <v>Pipe Size Reducer Model: KHRP26M73TP</v>
      </c>
      <c r="C300" t="str">
        <v>units</v>
      </c>
      <c r="D300">
        <v>3</v>
      </c>
      <c r="E300">
        <v>5997.970000000001</v>
      </c>
      <c r="F300">
        <v>17993.910000000003</v>
      </c>
      <c r="G300">
        <v>0.00041742746444528643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f>K300+L300</f>
        <v>0</v>
      </c>
      <c r="N300">
        <f>M300/43106674.89</f>
        <v>0</v>
      </c>
      <c r="O300" t="str">
        <v>Ongoing</v>
      </c>
    </row>
    <row r="301">
      <c r="A301" t="str">
        <v/>
      </c>
      <c r="B301" t="str">
        <v>VRV Multi Con piping kit Model: BHFP22R168-7</v>
      </c>
      <c r="C301" t="str">
        <v>units</v>
      </c>
      <c r="D301">
        <v>1</v>
      </c>
      <c r="E301">
        <v>39751.22</v>
      </c>
      <c r="F301">
        <v>39751.22</v>
      </c>
      <c r="G301">
        <v>0.0009221592735101353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f>K301+L301</f>
        <v>0</v>
      </c>
      <c r="N301">
        <f>M301/43106674.89</f>
        <v>0</v>
      </c>
      <c r="O301" t="str">
        <v>Ongoing</v>
      </c>
    </row>
    <row r="302">
      <c r="A302" t="str">
        <v/>
      </c>
      <c r="B302" t="str">
        <v xml:space="preserve">Copper Pipes - Type L Hard Drawn Pipes </v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>
        <v>0</v>
      </c>
      <c r="L302" t="str">
        <v/>
      </c>
      <c r="M302">
        <f>K302+L302</f>
        <v>0</v>
      </c>
      <c r="N302">
        <f>M302/43106674.89</f>
        <v>0</v>
      </c>
      <c r="O302" t="str">
        <v/>
      </c>
    </row>
    <row r="303">
      <c r="A303" t="str">
        <v/>
      </c>
      <c r="B303" t="str">
        <v>1/4"</v>
      </c>
      <c r="C303" t="str">
        <v>length/s</v>
      </c>
      <c r="D303">
        <v>8</v>
      </c>
      <c r="E303">
        <v>2120.33</v>
      </c>
      <c r="F303">
        <v>16962.64</v>
      </c>
      <c r="G303">
        <v>0.00039350379131040405</v>
      </c>
      <c r="H303" t="str">
        <v/>
      </c>
      <c r="I303" t="str">
        <v>length/s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>Ongoing</v>
      </c>
    </row>
    <row r="304">
      <c r="A304" t="str">
        <v/>
      </c>
      <c r="B304" t="str">
        <v>3/8"</v>
      </c>
      <c r="C304" t="str">
        <v>length/s</v>
      </c>
      <c r="D304">
        <v>12</v>
      </c>
      <c r="E304">
        <v>2952.3500000000004</v>
      </c>
      <c r="F304">
        <v>35428.200000000004</v>
      </c>
      <c r="G304">
        <v>0.0008218727167058463</v>
      </c>
      <c r="H304" t="str">
        <v/>
      </c>
      <c r="I304" t="str">
        <v>length/s</v>
      </c>
      <c r="J304">
        <v>0</v>
      </c>
      <c r="K304">
        <v>0</v>
      </c>
      <c r="L304">
        <v>0</v>
      </c>
      <c r="M304">
        <f>K304+L304</f>
        <v>0</v>
      </c>
      <c r="N304">
        <f>M304/43106674.89</f>
        <v>0</v>
      </c>
      <c r="O304" t="str">
        <v>Ongoing</v>
      </c>
    </row>
    <row r="305">
      <c r="A305" t="str">
        <v/>
      </c>
      <c r="B305" t="str">
        <v>1/2"</v>
      </c>
      <c r="C305" t="str">
        <v>length/s</v>
      </c>
      <c r="D305">
        <v>10</v>
      </c>
      <c r="E305">
        <v>4696.92</v>
      </c>
      <c r="F305">
        <v>46969.2</v>
      </c>
      <c r="G305">
        <v>0.0010896038750345836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>Ongoing</v>
      </c>
    </row>
    <row r="306">
      <c r="A306" t="str">
        <v/>
      </c>
      <c r="B306" t="str">
        <v>5/8"</v>
      </c>
      <c r="C306" t="str">
        <v>length/s</v>
      </c>
      <c r="D306">
        <v>14</v>
      </c>
      <c r="E306">
        <v>6775.950000000002</v>
      </c>
      <c r="F306">
        <v>94863.30000000002</v>
      </c>
      <c r="G306">
        <v>0.002200663823922235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f>K306+L306</f>
        <v>0</v>
      </c>
      <c r="N306">
        <f>M306/43106674.89</f>
        <v>0</v>
      </c>
      <c r="O306" t="str">
        <v>Ongoing</v>
      </c>
    </row>
    <row r="307">
      <c r="A307" t="str">
        <v/>
      </c>
      <c r="B307" t="str">
        <v>3/4"</v>
      </c>
      <c r="C307" t="str">
        <v>length/s</v>
      </c>
      <c r="D307">
        <v>16</v>
      </c>
      <c r="E307">
        <v>8642.33</v>
      </c>
      <c r="F307">
        <v>138277.28</v>
      </c>
      <c r="G307">
        <v>0.0032077927688196122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>Ongoing</v>
      </c>
    </row>
    <row r="308">
      <c r="A308" t="str">
        <v/>
      </c>
      <c r="B308" t="str">
        <v>7/8"</v>
      </c>
      <c r="C308" t="str">
        <v>length/s</v>
      </c>
      <c r="D308">
        <v>2</v>
      </c>
      <c r="E308">
        <v>10870.01</v>
      </c>
      <c r="F308">
        <v>21740.02</v>
      </c>
      <c r="G308">
        <v>0.0005043307110900196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f>K308+L308</f>
        <v>0</v>
      </c>
      <c r="N308">
        <f>M308/43106674.89</f>
        <v>0</v>
      </c>
      <c r="O308" t="str">
        <v>Ongoing</v>
      </c>
    </row>
    <row r="309">
      <c r="A309" t="str">
        <v/>
      </c>
      <c r="B309" t="str">
        <v>1-1/8"</v>
      </c>
      <c r="C309" t="str">
        <v>length/s</v>
      </c>
      <c r="D309">
        <v>5</v>
      </c>
      <c r="E309">
        <v>15566.920000000002</v>
      </c>
      <c r="F309">
        <v>77834.6</v>
      </c>
      <c r="G309">
        <v>0.0018056275553291693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>Ongoing</v>
      </c>
    </row>
    <row r="310">
      <c r="A310" t="str">
        <v/>
      </c>
      <c r="B310" t="str">
        <v>1-3/8"</v>
      </c>
      <c r="C310" t="str">
        <v>length/s</v>
      </c>
      <c r="D310">
        <v>2</v>
      </c>
      <c r="E310">
        <v>21015.33</v>
      </c>
      <c r="F310">
        <v>42030.66</v>
      </c>
      <c r="G310">
        <v>0.0009750383231194287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f>K310+L310</f>
        <v>0</v>
      </c>
      <c r="N310">
        <f>M310/43106674.89</f>
        <v>0</v>
      </c>
      <c r="O310" t="str">
        <v>Ongoing</v>
      </c>
    </row>
    <row r="311">
      <c r="A311" t="str">
        <v/>
      </c>
      <c r="B311" t="str">
        <v>1-5/8"</v>
      </c>
      <c r="C311" t="str">
        <v>length/s</v>
      </c>
      <c r="D311">
        <v>14</v>
      </c>
      <c r="E311">
        <v>27039.769999999997</v>
      </c>
      <c r="F311">
        <v>378556.77999999997</v>
      </c>
      <c r="G311">
        <v>0.008781859908378561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>Ongoing</v>
      </c>
    </row>
    <row r="312">
      <c r="A312" t="str">
        <v/>
      </c>
      <c r="B312" t="str">
        <v xml:space="preserve">Copper Pipes Insulation 25mm Thick </v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>
        <v>0</v>
      </c>
      <c r="L312" t="str">
        <v/>
      </c>
      <c r="M312" t="str">
        <v/>
      </c>
      <c r="N312" t="str">
        <v/>
      </c>
      <c r="O312" t="str">
        <v/>
      </c>
    </row>
    <row r="313">
      <c r="A313" t="str">
        <v/>
      </c>
      <c r="B313" t="str">
        <v>1/4"</v>
      </c>
      <c r="C313" t="str">
        <v>length/s</v>
      </c>
      <c r="D313">
        <v>16</v>
      </c>
      <c r="E313">
        <v>433.56999999999994</v>
      </c>
      <c r="F313">
        <v>6937.119999999999</v>
      </c>
      <c r="G313">
        <v>0.00016092913725547617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f>K313+L313</f>
        <v>0</v>
      </c>
      <c r="N313">
        <f>M313/43106674.89</f>
        <v>0</v>
      </c>
      <c r="O313" t="str">
        <v>Ongoing</v>
      </c>
    </row>
    <row r="314">
      <c r="A314" t="str">
        <v/>
      </c>
      <c r="B314" t="str">
        <v>3/8"</v>
      </c>
      <c r="C314" t="str">
        <v>length/s</v>
      </c>
      <c r="D314">
        <v>24</v>
      </c>
      <c r="E314">
        <v>441.8299999999999</v>
      </c>
      <c r="F314">
        <v>10603.919999999998</v>
      </c>
      <c r="G314">
        <v>0.0002459925296270049</v>
      </c>
      <c r="H314" t="str">
        <v/>
      </c>
      <c r="I314" t="str">
        <v>length/s</v>
      </c>
      <c r="J314">
        <v>0</v>
      </c>
      <c r="K314">
        <v>0</v>
      </c>
      <c r="L314">
        <v>0</v>
      </c>
      <c r="M314">
        <f>K314+L314</f>
        <v>0</v>
      </c>
      <c r="N314">
        <f>M314/43106674.89</f>
        <v>0</v>
      </c>
      <c r="O314" t="str">
        <v>Ongoing</v>
      </c>
    </row>
    <row r="315">
      <c r="A315" t="str">
        <v/>
      </c>
      <c r="B315" t="str">
        <v>1/2"</v>
      </c>
      <c r="C315" t="str">
        <v>length/s</v>
      </c>
      <c r="D315">
        <v>19</v>
      </c>
      <c r="E315">
        <v>516.15</v>
      </c>
      <c r="F315">
        <v>9806.85</v>
      </c>
      <c r="G315">
        <v>0.00022750188978911513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>Ongoing</v>
      </c>
    </row>
    <row r="316">
      <c r="A316" t="str">
        <v/>
      </c>
      <c r="B316" t="str">
        <v>5/8"</v>
      </c>
      <c r="C316" t="str">
        <v>length/s</v>
      </c>
      <c r="D316">
        <v>27</v>
      </c>
      <c r="E316">
        <v>629.7099999999999</v>
      </c>
      <c r="F316">
        <v>17002.17</v>
      </c>
      <c r="G316">
        <v>0.00039442081866407656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>Ongoing</v>
      </c>
    </row>
    <row r="317">
      <c r="A317" t="str">
        <v/>
      </c>
      <c r="B317" t="str">
        <v>3/4"</v>
      </c>
      <c r="C317" t="str">
        <v>length/s</v>
      </c>
      <c r="D317">
        <v>31</v>
      </c>
      <c r="E317">
        <v>708.16</v>
      </c>
      <c r="F317">
        <v>21952.96</v>
      </c>
      <c r="G317">
        <v>0.0005092705493063372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f>K317+L317</f>
        <v>0</v>
      </c>
      <c r="N317">
        <f>M317/43106674.89</f>
        <v>0</v>
      </c>
      <c r="O317" t="str">
        <v>Ongoing</v>
      </c>
    </row>
    <row r="318">
      <c r="A318" t="str">
        <v/>
      </c>
      <c r="B318" t="str">
        <v>7/8"</v>
      </c>
      <c r="C318" t="str">
        <v>length/s</v>
      </c>
      <c r="D318">
        <v>4</v>
      </c>
      <c r="E318">
        <v>784.55</v>
      </c>
      <c r="F318">
        <v>3138.2</v>
      </c>
      <c r="G318">
        <v>0.00007280079031862434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f>K318+L318</f>
        <v>0</v>
      </c>
      <c r="N318">
        <f>M318/43106674.89</f>
        <v>0</v>
      </c>
      <c r="O318" t="str">
        <v>Ongoing</v>
      </c>
    </row>
    <row r="319">
      <c r="A319" t="str">
        <v/>
      </c>
      <c r="B319" t="str">
        <v>1-1/8"</v>
      </c>
      <c r="C319" t="str">
        <v>length/s</v>
      </c>
      <c r="D319">
        <v>10</v>
      </c>
      <c r="E319">
        <v>846.49</v>
      </c>
      <c r="F319">
        <v>8464.9</v>
      </c>
      <c r="G319">
        <v>0.00019637098016956318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>Ongoing</v>
      </c>
    </row>
    <row r="320">
      <c r="A320" t="str">
        <v/>
      </c>
      <c r="B320" t="str">
        <v>1-3/8"</v>
      </c>
      <c r="C320" t="str">
        <v>length/s</v>
      </c>
      <c r="D320">
        <v>4</v>
      </c>
      <c r="E320">
        <v>896.03</v>
      </c>
      <c r="F320">
        <v>3584.12</v>
      </c>
      <c r="G320">
        <v>0.00008314535995054103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>Ongoing</v>
      </c>
    </row>
    <row r="321">
      <c r="A321" t="str">
        <v/>
      </c>
      <c r="B321" t="str">
        <v>1-5/8"</v>
      </c>
      <c r="C321" t="str">
        <v>length/s</v>
      </c>
      <c r="D321">
        <v>27</v>
      </c>
      <c r="E321">
        <v>1011.66</v>
      </c>
      <c r="F321">
        <v>27314.82</v>
      </c>
      <c r="G321">
        <v>0.000633656390099728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f>K321+L321</f>
        <v>0</v>
      </c>
      <c r="N321">
        <f>M321/43106674.89</f>
        <v>0</v>
      </c>
      <c r="O321" t="str">
        <v>Ongoing</v>
      </c>
    </row>
    <row r="322">
      <c r="A322" t="str">
        <v/>
      </c>
      <c r="B322" t="str">
        <v>Copper Pipe Fittings</v>
      </c>
      <c r="C322" t="str">
        <v>lot</v>
      </c>
      <c r="D322">
        <v>1</v>
      </c>
      <c r="E322">
        <v>96659.96999999999</v>
      </c>
      <c r="F322">
        <v>96659.96999999999</v>
      </c>
      <c r="G322">
        <v>0.00224234344789195</v>
      </c>
      <c r="H322" t="str">
        <v/>
      </c>
      <c r="I322" t="str">
        <v>lot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>Ongoing</v>
      </c>
    </row>
    <row r="323">
      <c r="A323" t="str">
        <v/>
      </c>
      <c r="B323" t="str">
        <v>Isolation Ball Valves</v>
      </c>
      <c r="C323" t="str">
        <v>pc/s</v>
      </c>
      <c r="D323">
        <v>24</v>
      </c>
      <c r="E323">
        <v>3207.48</v>
      </c>
      <c r="F323">
        <v>76979.52</v>
      </c>
      <c r="G323">
        <v>0.001785791184229287</v>
      </c>
      <c r="H323" t="str">
        <v/>
      </c>
      <c r="I323" t="str">
        <v>pc/s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>Ongoing</v>
      </c>
    </row>
    <row r="324">
      <c r="A324" t="str">
        <v/>
      </c>
      <c r="B324" t="str">
        <v>PVC Cladding Works</v>
      </c>
      <c r="C324" t="str">
        <v>lot</v>
      </c>
      <c r="D324">
        <v>1</v>
      </c>
      <c r="E324">
        <v>32219.999999999996</v>
      </c>
      <c r="F324">
        <v>32219.999999999996</v>
      </c>
      <c r="G324">
        <v>0.0007474480479466178</v>
      </c>
      <c r="H324" t="str">
        <v/>
      </c>
      <c r="I324" t="str">
        <v>lot</v>
      </c>
      <c r="J324">
        <v>0</v>
      </c>
      <c r="K324">
        <v>0</v>
      </c>
      <c r="L324">
        <v>0</v>
      </c>
      <c r="M324">
        <f>K324+L324</f>
        <v>0</v>
      </c>
      <c r="N324">
        <f>M324/43106674.89</f>
        <v>0</v>
      </c>
      <c r="O324" t="str">
        <v>Ongoing</v>
      </c>
    </row>
    <row r="325">
      <c r="A325" t="str">
        <v/>
      </c>
      <c r="B325" t="str">
        <v>Concrete Pad</v>
      </c>
      <c r="C325" t="str">
        <v>pcs</v>
      </c>
      <c r="D325">
        <v>3</v>
      </c>
      <c r="E325">
        <v>9622.41</v>
      </c>
      <c r="F325">
        <v>28867.23</v>
      </c>
      <c r="G325">
        <v>0.0006696696062422733</v>
      </c>
      <c r="H325" t="str">
        <v/>
      </c>
      <c r="I325" t="str">
        <v>pcs</v>
      </c>
      <c r="J325">
        <v>0</v>
      </c>
      <c r="K325">
        <v>0</v>
      </c>
      <c r="L325">
        <v>0</v>
      </c>
      <c r="M325">
        <f>K325+L325</f>
        <v>0</v>
      </c>
      <c r="N325">
        <f>M325/43106674.89</f>
        <v>0</v>
      </c>
      <c r="O325" t="str">
        <v>Ongoing</v>
      </c>
    </row>
    <row r="326">
      <c r="A326" t="str">
        <v/>
      </c>
      <c r="B326" t="str">
        <v>Condensate Drain Pipes</v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>
        <v>0</v>
      </c>
      <c r="L326" t="str">
        <v/>
      </c>
      <c r="M326">
        <f>K326+L326</f>
        <v>0</v>
      </c>
      <c r="N326">
        <f>M326/43106674.89</f>
        <v>0</v>
      </c>
      <c r="O326" t="str">
        <v/>
      </c>
    </row>
    <row r="327">
      <c r="A327" t="str">
        <v/>
      </c>
      <c r="B327" t="str">
        <v>32mm dia. uPVC blue pipe PNS 65</v>
      </c>
      <c r="C327" t="str">
        <v>length/s</v>
      </c>
      <c r="D327">
        <v>31</v>
      </c>
      <c r="E327">
        <v>404.15</v>
      </c>
      <c r="F327">
        <v>12528.65</v>
      </c>
      <c r="G327">
        <v>0.00029064292321248896</v>
      </c>
      <c r="H327" t="str">
        <v/>
      </c>
      <c r="I327" t="str">
        <v>length/s</v>
      </c>
      <c r="J327">
        <v>0</v>
      </c>
      <c r="K327">
        <v>0</v>
      </c>
      <c r="L327">
        <v>0</v>
      </c>
      <c r="M327">
        <f>K327+L327</f>
        <v>0</v>
      </c>
      <c r="N327">
        <f>M327/43106674.89</f>
        <v>0</v>
      </c>
      <c r="O327" t="str">
        <v>Ongoing</v>
      </c>
    </row>
    <row r="328">
      <c r="A328" t="str">
        <v/>
      </c>
      <c r="B328" t="str">
        <v>50mm dia. PVC blue uPVC blue pipe PNS 65</v>
      </c>
      <c r="C328" t="str">
        <v>length/s</v>
      </c>
      <c r="D328">
        <v>38</v>
      </c>
      <c r="E328">
        <v>641.83</v>
      </c>
      <c r="F328">
        <v>24389.54</v>
      </c>
      <c r="G328">
        <v>0.0005657949740321526</v>
      </c>
      <c r="H328" t="str">
        <v/>
      </c>
      <c r="I328" t="str">
        <v>length/s</v>
      </c>
      <c r="J328">
        <v>0</v>
      </c>
      <c r="K328">
        <v>0</v>
      </c>
      <c r="L328">
        <v>0</v>
      </c>
      <c r="M328">
        <v>0</v>
      </c>
      <c r="N328">
        <v>0</v>
      </c>
      <c r="O328" t="str">
        <v>Ongoing</v>
      </c>
    </row>
    <row r="329">
      <c r="A329" t="str">
        <v/>
      </c>
      <c r="B329" t="str">
        <v>Condensate Drain Pipes Rubber Insulation 1.5 meters</v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>
        <v>0</v>
      </c>
      <c r="L329" t="str">
        <v/>
      </c>
      <c r="M329" t="str">
        <v/>
      </c>
      <c r="N329" t="str">
        <v/>
      </c>
      <c r="O329" t="str">
        <v/>
      </c>
    </row>
    <row r="330">
      <c r="A330" t="str">
        <v/>
      </c>
      <c r="B330" t="str">
        <v>3/4'' thick for 32mm pvc</v>
      </c>
      <c r="C330" t="str">
        <v>length/s</v>
      </c>
      <c r="D330">
        <v>61</v>
      </c>
      <c r="E330">
        <v>427.66999999999996</v>
      </c>
      <c r="F330">
        <v>26087.87</v>
      </c>
      <c r="G330">
        <v>0.0006051932807754542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>Ongoing</v>
      </c>
    </row>
    <row r="331">
      <c r="A331" t="str">
        <v/>
      </c>
      <c r="B331" t="str">
        <v>3/4'' thick for 50mm pvc</v>
      </c>
      <c r="C331" t="str">
        <v>length/s</v>
      </c>
      <c r="D331">
        <v>75</v>
      </c>
      <c r="E331">
        <v>812.5699999999999</v>
      </c>
      <c r="F331">
        <v>60942.74999999999</v>
      </c>
      <c r="G331">
        <v>0.0014137659690874843</v>
      </c>
      <c r="H331" t="str">
        <v/>
      </c>
      <c r="I331" t="str">
        <v>length/s</v>
      </c>
      <c r="J331">
        <v>0</v>
      </c>
      <c r="K331">
        <v>0</v>
      </c>
      <c r="L331">
        <v>0</v>
      </c>
      <c r="M331">
        <f>K331+L331</f>
        <v>0</v>
      </c>
      <c r="N331">
        <f>M331/43106674.89</f>
        <v>0</v>
      </c>
      <c r="O331" t="str">
        <v>Ongoing</v>
      </c>
    </row>
    <row r="332">
      <c r="A332" t="str">
        <v/>
      </c>
      <c r="B332" t="str">
        <v>Drain Pump</v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>
        <v>0</v>
      </c>
      <c r="L332" t="str">
        <v/>
      </c>
      <c r="M332">
        <f>K332+L332</f>
        <v>0</v>
      </c>
      <c r="N332">
        <f>M332/43106674.89</f>
        <v>0</v>
      </c>
      <c r="O332" t="str">
        <v/>
      </c>
    </row>
    <row r="333">
      <c r="A333" t="str">
        <v/>
      </c>
      <c r="B333" t="str">
        <v xml:space="preserve"> (5.0m pump Lift) Model: BDU513A450VE</v>
      </c>
      <c r="C333" t="str">
        <v>pcs</v>
      </c>
      <c r="D333">
        <v>10</v>
      </c>
      <c r="E333">
        <v>30473.159999999996</v>
      </c>
      <c r="F333">
        <v>304731.6</v>
      </c>
      <c r="G333">
        <v>0.007069243934439775</v>
      </c>
      <c r="H333" t="str">
        <v/>
      </c>
      <c r="I333" t="str">
        <v>pcs</v>
      </c>
      <c r="J333">
        <v>0</v>
      </c>
      <c r="K333">
        <v>0</v>
      </c>
      <c r="L333">
        <v>0</v>
      </c>
      <c r="M333">
        <f>K333+L333</f>
        <v>0</v>
      </c>
      <c r="N333">
        <f>M333/43106674.89</f>
        <v>0</v>
      </c>
      <c r="O333" t="str">
        <v>Ongoing</v>
      </c>
    </row>
    <row r="334">
      <c r="A334" t="str">
        <v/>
      </c>
      <c r="B334" t="str">
        <v>Fittings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>
        <v>0</v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>Wye 50mm</v>
      </c>
      <c r="C335" t="str">
        <v>length/s</v>
      </c>
      <c r="D335">
        <v>2</v>
      </c>
      <c r="E335">
        <v>213.84</v>
      </c>
      <c r="F335">
        <v>427.68</v>
      </c>
      <c r="G335">
        <v>0.000009921433306822145</v>
      </c>
      <c r="H335" t="str">
        <v/>
      </c>
      <c r="I335" t="str">
        <v>length/s</v>
      </c>
      <c r="J335">
        <v>0</v>
      </c>
      <c r="K335">
        <v>0</v>
      </c>
      <c r="L335">
        <v>0</v>
      </c>
      <c r="M335">
        <f>K335+L335</f>
        <v>0</v>
      </c>
      <c r="N335">
        <f>M335/43106674.89</f>
        <v>0</v>
      </c>
      <c r="O335" t="str">
        <v>Ongoing</v>
      </c>
    </row>
    <row r="336">
      <c r="A336" t="str">
        <v/>
      </c>
      <c r="B336" t="str">
        <v>Wye Reducer 50 x 32</v>
      </c>
      <c r="C336" t="str">
        <v>length/s</v>
      </c>
      <c r="D336">
        <v>11</v>
      </c>
      <c r="E336">
        <v>192.45999999999995</v>
      </c>
      <c r="F336">
        <v>2117.0599999999995</v>
      </c>
      <c r="G336">
        <v>0.00004911211559236084</v>
      </c>
      <c r="H336" t="str">
        <v/>
      </c>
      <c r="I336" t="str">
        <v>length/s</v>
      </c>
      <c r="J336">
        <v>0</v>
      </c>
      <c r="K336">
        <v>0</v>
      </c>
      <c r="L336">
        <v>0</v>
      </c>
      <c r="M336">
        <f>K336+L336</f>
        <v>0</v>
      </c>
      <c r="N336">
        <f>M336/43106674.89</f>
        <v>0</v>
      </c>
      <c r="O336" t="str">
        <v>Ongoing</v>
      </c>
    </row>
    <row r="337">
      <c r="A337" t="str">
        <v/>
      </c>
      <c r="B337" t="str">
        <v>Tee 32mm</v>
      </c>
      <c r="C337" t="str">
        <v>length/s</v>
      </c>
      <c r="D337">
        <v>3</v>
      </c>
      <c r="E337">
        <v>53.47</v>
      </c>
      <c r="F337">
        <v>160.41</v>
      </c>
      <c r="G337">
        <v>0.0000037212334379614206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f>K337+L337</f>
        <v>0</v>
      </c>
      <c r="N337">
        <f>M337/43106674.89</f>
        <v>0</v>
      </c>
      <c r="O337" t="str">
        <v>Ongoing</v>
      </c>
    </row>
    <row r="338">
      <c r="A338" t="str">
        <v/>
      </c>
      <c r="B338" t="str">
        <v>Tee Reducer 50 x 32</v>
      </c>
      <c r="C338" t="str">
        <v>length/s</v>
      </c>
      <c r="D338">
        <v>3</v>
      </c>
      <c r="E338">
        <v>203.14999999999998</v>
      </c>
      <c r="F338">
        <v>609.4499999999999</v>
      </c>
      <c r="G338">
        <v>0.00001413818165180218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f>K338+L338</f>
        <v>0</v>
      </c>
      <c r="N338">
        <f>M338/43106674.89</f>
        <v>0</v>
      </c>
      <c r="O338" t="str">
        <v>Ongoing</v>
      </c>
    </row>
    <row r="339">
      <c r="A339" t="str">
        <v/>
      </c>
      <c r="B339" t="str">
        <v>Elbow 32mm</v>
      </c>
      <c r="C339" t="str">
        <v>length/s</v>
      </c>
      <c r="D339">
        <v>7</v>
      </c>
      <c r="E339">
        <v>43.63</v>
      </c>
      <c r="F339">
        <v>305.41</v>
      </c>
      <c r="G339">
        <v>0.000007084981636355574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>Ongoing</v>
      </c>
    </row>
    <row r="340">
      <c r="A340" t="str">
        <v/>
      </c>
      <c r="B340" t="str">
        <v>Cleanout 50mm</v>
      </c>
      <c r="C340" t="str">
        <v>length/s</v>
      </c>
      <c r="D340">
        <v>6</v>
      </c>
      <c r="E340">
        <v>213.84</v>
      </c>
      <c r="F340">
        <v>1283.04</v>
      </c>
      <c r="G340">
        <v>0.00002976429992046643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f>K340+L340</f>
        <v>0</v>
      </c>
      <c r="N340">
        <f>M340/43106674.89</f>
        <v>0</v>
      </c>
      <c r="O340" t="str">
        <v>Ongoing</v>
      </c>
    </row>
    <row r="341">
      <c r="A341" t="str">
        <v/>
      </c>
      <c r="B341" t="str">
        <v>RELATED ELECTRICAL WORKS</v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>
        <f>K341+L341</f>
        <v>0</v>
      </c>
      <c r="N341">
        <f>M341/43106674.89</f>
        <v>0</v>
      </c>
      <c r="O341" t="str">
        <v/>
      </c>
    </row>
    <row r="342">
      <c r="A342" t="str">
        <v/>
      </c>
      <c r="B342" t="str">
        <v>Rough-ins</v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>
        <v>0</v>
      </c>
      <c r="L342" t="str">
        <v/>
      </c>
      <c r="M342" t="str">
        <v/>
      </c>
      <c r="N342" t="str">
        <v/>
      </c>
      <c r="O342" t="str">
        <v/>
      </c>
    </row>
    <row r="343">
      <c r="A343" t="str">
        <v/>
      </c>
      <c r="B343" t="str">
        <v>liquid-tight metallic flexible conduits 2"</v>
      </c>
      <c r="C343" t="str">
        <v>m</v>
      </c>
      <c r="D343">
        <v>78</v>
      </c>
      <c r="E343">
        <v>763.3899999999999</v>
      </c>
      <c r="F343">
        <v>59544.41999999999</v>
      </c>
      <c r="G343">
        <v>0.0013813271413753428</v>
      </c>
      <c r="H343" t="str">
        <v/>
      </c>
      <c r="I343" t="str">
        <v>m</v>
      </c>
      <c r="J343">
        <v>0</v>
      </c>
      <c r="K343">
        <v>0</v>
      </c>
      <c r="L343">
        <v>0</v>
      </c>
      <c r="M343">
        <v>0</v>
      </c>
      <c r="N343">
        <v>0</v>
      </c>
      <c r="O343" t="str">
        <v>Ongoing</v>
      </c>
    </row>
    <row r="344">
      <c r="A344" t="str">
        <v/>
      </c>
      <c r="B344" t="str">
        <v>Metallic Flexible Conduit 20mm</v>
      </c>
      <c r="C344" t="str">
        <v>m</v>
      </c>
      <c r="D344">
        <v>654</v>
      </c>
      <c r="E344">
        <v>65.86999999999999</v>
      </c>
      <c r="F344">
        <v>43078.979999999996</v>
      </c>
      <c r="G344">
        <v>0.0009993575266459152</v>
      </c>
      <c r="H344" t="str">
        <v/>
      </c>
      <c r="I344" t="str">
        <v>m</v>
      </c>
      <c r="J344">
        <v>0</v>
      </c>
      <c r="K344">
        <v>0</v>
      </c>
      <c r="L344">
        <v>0</v>
      </c>
      <c r="M344">
        <f>K344+L344</f>
        <v>0</v>
      </c>
      <c r="N344">
        <f>M344/43106674.89</f>
        <v>0</v>
      </c>
      <c r="O344" t="str">
        <v>Ongoing</v>
      </c>
    </row>
    <row r="345">
      <c r="A345" t="str">
        <v/>
      </c>
      <c r="B345" t="str">
        <v>Metallic Flexible Conduit Connector 20mm</v>
      </c>
      <c r="C345" t="str">
        <v>pcs</v>
      </c>
      <c r="D345">
        <v>32</v>
      </c>
      <c r="E345">
        <v>32.09</v>
      </c>
      <c r="F345">
        <v>1026.88</v>
      </c>
      <c r="G345">
        <v>0.000023821832758393013</v>
      </c>
      <c r="H345" t="str">
        <v/>
      </c>
      <c r="I345" t="str">
        <v>pcs</v>
      </c>
      <c r="J345">
        <v>0</v>
      </c>
      <c r="K345">
        <v>0</v>
      </c>
      <c r="L345">
        <v>0</v>
      </c>
      <c r="M345">
        <f>K345+L345</f>
        <v>0</v>
      </c>
      <c r="N345">
        <f>M345/43106674.89</f>
        <v>0</v>
      </c>
      <c r="O345" t="str">
        <v>Ongoing</v>
      </c>
    </row>
    <row r="346">
      <c r="A346" t="str">
        <v/>
      </c>
      <c r="B346" t="str">
        <v>Cables / Wires</v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>
        <v>0</v>
      </c>
      <c r="L346" t="str">
        <v/>
      </c>
      <c r="M346">
        <f>K346+L346</f>
        <v>0</v>
      </c>
      <c r="N346">
        <f>M346/43106674.89</f>
        <v>0</v>
      </c>
      <c r="O346" t="str">
        <v/>
      </c>
    </row>
    <row r="347">
      <c r="A347" t="str">
        <v/>
      </c>
      <c r="B347" t="str">
        <v>Communication wire (PD Royal Cord 0.75mm/2C)</v>
      </c>
      <c r="C347" t="str">
        <v>m</v>
      </c>
      <c r="D347">
        <v>472</v>
      </c>
      <c r="E347">
        <v>80.84000000000002</v>
      </c>
      <c r="F347">
        <v>38156.48000000001</v>
      </c>
      <c r="G347">
        <v>0.0008851640748762934</v>
      </c>
      <c r="H347" t="str">
        <v/>
      </c>
      <c r="I347" t="str">
        <v>m</v>
      </c>
      <c r="J347">
        <v>0</v>
      </c>
      <c r="K347">
        <v>0</v>
      </c>
      <c r="L347">
        <v>0</v>
      </c>
      <c r="M347">
        <f>K347+L347</f>
        <v>0</v>
      </c>
      <c r="N347">
        <f>M347/43106674.89</f>
        <v>0</v>
      </c>
      <c r="O347" t="str">
        <v>Ongoing</v>
      </c>
    </row>
    <row r="348">
      <c r="A348" t="str">
        <v/>
      </c>
      <c r="B348" t="str">
        <v>Wire 3.5mm² THHN (5 meters per Unit)</v>
      </c>
      <c r="C348" t="str">
        <v>m</v>
      </c>
      <c r="D348">
        <v>78</v>
      </c>
      <c r="E348">
        <v>77.05</v>
      </c>
      <c r="F348">
        <v>6009.9</v>
      </c>
      <c r="G348">
        <v>0.0001394192434312346</v>
      </c>
      <c r="H348" t="str">
        <v/>
      </c>
      <c r="I348" t="str">
        <v>m</v>
      </c>
      <c r="J348">
        <v>0</v>
      </c>
      <c r="K348">
        <v>0</v>
      </c>
      <c r="L348">
        <v>0</v>
      </c>
      <c r="M348">
        <f>K348+L348</f>
        <v>0</v>
      </c>
      <c r="N348">
        <f>M348/43106674.89</f>
        <v>0</v>
      </c>
      <c r="O348" t="str">
        <v>Ongoing</v>
      </c>
    </row>
    <row r="349">
      <c r="A349" t="str">
        <v/>
      </c>
      <c r="B349" t="str">
        <v>Wire 5.5mm² THHN (5 meters per Unit)</v>
      </c>
      <c r="C349" t="str">
        <v>m</v>
      </c>
      <c r="D349">
        <v>26</v>
      </c>
      <c r="E349">
        <v>120.11</v>
      </c>
      <c r="F349">
        <v>3122.86</v>
      </c>
      <c r="G349">
        <v>0.00007244492895749768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f>K349+L349</f>
        <v>0</v>
      </c>
      <c r="N349">
        <f>M349/43106674.89</f>
        <v>0</v>
      </c>
      <c r="O349" t="str">
        <v>Ongoing</v>
      </c>
    </row>
    <row r="350">
      <c r="A350" t="str">
        <v/>
      </c>
      <c r="B350" t="str">
        <v>Wire 38.0mm² THHN (5 meters per Unit)</v>
      </c>
      <c r="C350" t="str">
        <v>m</v>
      </c>
      <c r="D350">
        <v>59</v>
      </c>
      <c r="E350">
        <v>938.2</v>
      </c>
      <c r="F350">
        <v>55353.8</v>
      </c>
      <c r="G350">
        <v>0.0012841120346501395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f>K350+L350</f>
        <v>0</v>
      </c>
      <c r="N350">
        <f>M350/43106674.89</f>
        <v>0</v>
      </c>
      <c r="O350" t="str">
        <v>Ongoing</v>
      </c>
    </row>
    <row r="351">
      <c r="A351" t="str">
        <v/>
      </c>
      <c r="B351" t="str">
        <v>for ground:</v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>
        <v>0</v>
      </c>
      <c r="L351" t="str">
        <v/>
      </c>
      <c r="M351">
        <f>K351+L351</f>
        <v>0</v>
      </c>
      <c r="N351">
        <f>M351/43106674.89</f>
        <v>0</v>
      </c>
      <c r="O351" t="str">
        <v/>
      </c>
    </row>
    <row r="352">
      <c r="A352" t="str">
        <v/>
      </c>
      <c r="B352" t="str">
        <v>Wire 3.5mm² THHN (G) (5 meters per Unit)</v>
      </c>
      <c r="C352" t="str">
        <v>m</v>
      </c>
      <c r="D352">
        <v>78</v>
      </c>
      <c r="E352">
        <v>75.36</v>
      </c>
      <c r="F352">
        <v>5878.08</v>
      </c>
      <c r="G352">
        <v>0.00013636124834494275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f>K352+L352</f>
        <v>0</v>
      </c>
      <c r="N352">
        <f>M352/43106674.89</f>
        <v>0</v>
      </c>
      <c r="O352" t="str">
        <v>Ongoing</v>
      </c>
    </row>
    <row r="353">
      <c r="A353" t="str">
        <v/>
      </c>
      <c r="B353" t="str">
        <v>Wire 14.0mm² THHN (G) (5 meters per Unit)</v>
      </c>
      <c r="C353" t="str">
        <v>m</v>
      </c>
      <c r="D353">
        <v>20</v>
      </c>
      <c r="E353">
        <v>311.01000000000005</v>
      </c>
      <c r="F353">
        <v>6220.200000000001</v>
      </c>
      <c r="G353">
        <v>0.000144297838232078</v>
      </c>
      <c r="H353" t="str">
        <v/>
      </c>
      <c r="I353" t="str">
        <v>m</v>
      </c>
      <c r="J353">
        <v>0</v>
      </c>
      <c r="K353">
        <v>0</v>
      </c>
      <c r="L353">
        <v>0</v>
      </c>
      <c r="M353">
        <f>K353+L353</f>
        <v>0</v>
      </c>
      <c r="N353">
        <f>M353/43106674.89</f>
        <v>0</v>
      </c>
      <c r="O353" t="str">
        <v>Ongoing</v>
      </c>
    </row>
    <row r="354">
      <c r="A354" t="str">
        <v>IV.B</v>
      </c>
      <c r="B354" t="str">
        <v>CONSUMABLES</v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>
        <v>0</v>
      </c>
      <c r="L354" t="str">
        <v/>
      </c>
      <c r="M354">
        <f>K354+L354</f>
        <v>0</v>
      </c>
      <c r="N354">
        <f>M354/43106674.89</f>
        <v>0</v>
      </c>
      <c r="O354" t="str">
        <v/>
      </c>
    </row>
    <row r="355">
      <c r="A355" t="str">
        <v/>
      </c>
      <c r="B355" t="str">
        <v>Vibration Isolator</v>
      </c>
      <c r="C355" t="str">
        <v>pcs</v>
      </c>
      <c r="D355">
        <v>20</v>
      </c>
      <c r="E355">
        <v>1389.91</v>
      </c>
      <c r="F355">
        <v>27798.2</v>
      </c>
      <c r="G355">
        <v>0.0006448699666800023</v>
      </c>
      <c r="H355" t="str">
        <v/>
      </c>
      <c r="I355" t="str">
        <v>pcs</v>
      </c>
      <c r="J355">
        <v>0</v>
      </c>
      <c r="K355">
        <v>0</v>
      </c>
      <c r="L355">
        <v>0</v>
      </c>
      <c r="M355">
        <f>K355+L355</f>
        <v>0</v>
      </c>
      <c r="N355">
        <f>M355/43106674.89</f>
        <v>0</v>
      </c>
      <c r="O355" t="str">
        <v>Ongoing</v>
      </c>
    </row>
    <row r="356">
      <c r="A356" t="str">
        <v/>
      </c>
      <c r="B356" t="str">
        <v>Angle Bar, 2x2x 1/4 (6 meters)</v>
      </c>
      <c r="C356" t="str">
        <v>length/s</v>
      </c>
      <c r="D356">
        <v>7</v>
      </c>
      <c r="E356">
        <v>2523.2200000000003</v>
      </c>
      <c r="F356">
        <v>17662.54</v>
      </c>
      <c r="G356">
        <v>0.00040974025589010106</v>
      </c>
      <c r="H356" t="str">
        <v/>
      </c>
      <c r="I356" t="str">
        <v>length/s</v>
      </c>
      <c r="J356">
        <v>0</v>
      </c>
      <c r="K356">
        <v>0</v>
      </c>
      <c r="L356">
        <v>0</v>
      </c>
      <c r="M356">
        <f>K356+L356</f>
        <v>0</v>
      </c>
      <c r="N356">
        <f>M356/43106674.89</f>
        <v>0</v>
      </c>
      <c r="O356" t="str">
        <v>Ongoing</v>
      </c>
    </row>
    <row r="357">
      <c r="A357" t="str">
        <v/>
      </c>
      <c r="B357" t="str">
        <v>Rugby</v>
      </c>
      <c r="C357" t="str">
        <v>bottle</v>
      </c>
      <c r="D357">
        <v>24</v>
      </c>
      <c r="E357">
        <v>277.99000000000007</v>
      </c>
      <c r="F357">
        <v>6671.760000000002</v>
      </c>
      <c r="G357">
        <v>0.00015477324606978052</v>
      </c>
      <c r="H357" t="str">
        <v/>
      </c>
      <c r="I357" t="str">
        <v>bottle</v>
      </c>
      <c r="J357">
        <v>0</v>
      </c>
      <c r="K357">
        <v>0</v>
      </c>
      <c r="L357">
        <v>0</v>
      </c>
      <c r="M357">
        <f>K357+L357</f>
        <v>0</v>
      </c>
      <c r="N357">
        <f>M357/43106674.89</f>
        <v>0</v>
      </c>
      <c r="O357" t="str">
        <v>Ongoing</v>
      </c>
    </row>
    <row r="358">
      <c r="A358" t="str">
        <v/>
      </c>
      <c r="B358" t="str">
        <v>White Tape</v>
      </c>
      <c r="C358" t="str">
        <v>rolls</v>
      </c>
      <c r="D358">
        <v>47</v>
      </c>
      <c r="E358">
        <v>374.2199999999999</v>
      </c>
      <c r="F358">
        <v>17588.339999999997</v>
      </c>
      <c r="G358">
        <v>0.00040801894474306065</v>
      </c>
      <c r="H358" t="str">
        <v/>
      </c>
      <c r="I358" t="str">
        <v>rolls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>Ongoing</v>
      </c>
    </row>
    <row r="359">
      <c r="A359" t="str">
        <v/>
      </c>
      <c r="B359" t="str">
        <v>Threaded rod 3/8 (6 meters)</v>
      </c>
      <c r="C359" t="str">
        <v>length/s</v>
      </c>
      <c r="D359">
        <v>104</v>
      </c>
      <c r="E359">
        <v>171.07</v>
      </c>
      <c r="F359">
        <v>17791.28</v>
      </c>
      <c r="G359">
        <v>0.0004127268003250063</v>
      </c>
      <c r="H359" t="str">
        <v/>
      </c>
      <c r="I359" t="str">
        <v>length/s</v>
      </c>
      <c r="J359">
        <v>0</v>
      </c>
      <c r="K359">
        <v>0</v>
      </c>
      <c r="L359">
        <v>0</v>
      </c>
      <c r="M359">
        <f>K359+L359</f>
        <v>0</v>
      </c>
      <c r="N359">
        <f>M359/43106674.89</f>
        <v>0</v>
      </c>
      <c r="O359" t="str">
        <v>Ongoing</v>
      </c>
    </row>
    <row r="360">
      <c r="A360" t="str">
        <v/>
      </c>
      <c r="B360" t="str">
        <v>Nuts and washer 3/8</v>
      </c>
      <c r="C360" t="str">
        <v>pcs</v>
      </c>
      <c r="D360">
        <v>32</v>
      </c>
      <c r="E360">
        <v>21.39</v>
      </c>
      <c r="F360">
        <v>684.48</v>
      </c>
      <c r="G360">
        <v>0.000015878747357495374</v>
      </c>
      <c r="H360" t="str">
        <v/>
      </c>
      <c r="I360" t="str">
        <v>pcs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>Ongoing</v>
      </c>
    </row>
    <row r="361">
      <c r="A361" t="str">
        <v/>
      </c>
      <c r="B361" t="str">
        <v>Grip Anchor 3/8</v>
      </c>
      <c r="C361" t="str">
        <v>pcs</v>
      </c>
      <c r="D361">
        <v>32</v>
      </c>
      <c r="E361">
        <v>10.699999999999998</v>
      </c>
      <c r="F361">
        <v>342.3999999999999</v>
      </c>
      <c r="G361">
        <v>0.000007943085400897639</v>
      </c>
      <c r="H361" t="str">
        <v/>
      </c>
      <c r="I361" t="str">
        <v>pcs</v>
      </c>
      <c r="J361">
        <v>0</v>
      </c>
      <c r="K361">
        <v>0</v>
      </c>
      <c r="L361">
        <v>0</v>
      </c>
      <c r="M361">
        <f>K361+L361</f>
        <v>0</v>
      </c>
      <c r="N361">
        <f>M361/43106674.89</f>
        <v>0</v>
      </c>
      <c r="O361" t="str">
        <v>Ongoing</v>
      </c>
    </row>
    <row r="362">
      <c r="A362" t="str">
        <v/>
      </c>
      <c r="B362" t="str">
        <v>Paint (Red Oxide)</v>
      </c>
      <c r="C362" t="str">
        <v>gallon</v>
      </c>
      <c r="D362">
        <v>1</v>
      </c>
      <c r="E362">
        <v>3432</v>
      </c>
      <c r="F362">
        <v>3432</v>
      </c>
      <c r="G362">
        <v>0.000079616440116474</v>
      </c>
      <c r="H362" t="str">
        <v/>
      </c>
      <c r="I362" t="str">
        <v>gallon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>Ongoing</v>
      </c>
    </row>
    <row r="363">
      <c r="A363" t="str">
        <v/>
      </c>
      <c r="B363" t="str">
        <v>Loop Hangers</v>
      </c>
      <c r="C363" t="str">
        <v>pcs</v>
      </c>
      <c r="D363">
        <v>393</v>
      </c>
      <c r="E363">
        <v>42.78</v>
      </c>
      <c r="F363">
        <v>16812.54</v>
      </c>
      <c r="G363">
        <v>0.0003900217319684802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f>K363+L363</f>
        <v>0</v>
      </c>
      <c r="N363">
        <f>M363/43106674.89</f>
        <v>0</v>
      </c>
      <c r="O363" t="str">
        <v>Ongoing</v>
      </c>
    </row>
    <row r="364">
      <c r="A364" t="str">
        <v/>
      </c>
      <c r="B364" t="str">
        <v>Freon</v>
      </c>
      <c r="C364" t="str">
        <v>tank</v>
      </c>
      <c r="D364">
        <v>8</v>
      </c>
      <c r="E364">
        <v>14497.769999999999</v>
      </c>
      <c r="F364">
        <v>115982.15999999999</v>
      </c>
      <c r="G364">
        <v>0.002690584701695602</v>
      </c>
      <c r="H364" t="str">
        <v/>
      </c>
      <c r="I364" t="str">
        <v>tank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>Ongoing</v>
      </c>
    </row>
    <row r="365">
      <c r="A365" t="str">
        <v/>
      </c>
      <c r="B365" t="str">
        <v>Nitrogen</v>
      </c>
      <c r="C365" t="str">
        <v>tank</v>
      </c>
      <c r="D365">
        <v>4</v>
      </c>
      <c r="E365">
        <v>18175.66</v>
      </c>
      <c r="F365">
        <v>72702.64</v>
      </c>
      <c r="G365">
        <v>0.0016865749952999906</v>
      </c>
      <c r="H365" t="str">
        <v/>
      </c>
      <c r="I365" t="str">
        <v>tank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>Ongoing</v>
      </c>
    </row>
    <row r="366">
      <c r="A366" t="str">
        <v/>
      </c>
      <c r="B366" t="str">
        <v>Mapp Gas</v>
      </c>
      <c r="C366" t="str">
        <v>tank</v>
      </c>
      <c r="D366">
        <v>12</v>
      </c>
      <c r="E366">
        <v>812.5699999999998</v>
      </c>
      <c r="F366">
        <v>9750.839999999998</v>
      </c>
      <c r="G366">
        <v>0.00022620255505399745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f>K366+L366</f>
        <v>0</v>
      </c>
      <c r="N366">
        <f>M366/43106674.89</f>
        <v>0</v>
      </c>
      <c r="O366" t="str">
        <v>Ongoing</v>
      </c>
    </row>
    <row r="367">
      <c r="A367" t="str">
        <v/>
      </c>
      <c r="B367" t="str">
        <v>Silver Rod</v>
      </c>
      <c r="C367" t="str">
        <v>pcs</v>
      </c>
      <c r="D367">
        <v>158</v>
      </c>
      <c r="E367">
        <v>53.47</v>
      </c>
      <c r="F367">
        <v>8448.26</v>
      </c>
      <c r="G367">
        <v>0.0001959849610659682</v>
      </c>
      <c r="H367" t="str">
        <v/>
      </c>
      <c r="I367" t="str">
        <v>pcs</v>
      </c>
      <c r="J367">
        <v>0</v>
      </c>
      <c r="K367">
        <v>0</v>
      </c>
      <c r="L367">
        <v>0</v>
      </c>
      <c r="M367">
        <f>K367+L367</f>
        <v>0</v>
      </c>
      <c r="N367">
        <f>M367/43106674.89</f>
        <v>0</v>
      </c>
      <c r="O367" t="str">
        <v>Ongoing</v>
      </c>
    </row>
    <row r="368">
      <c r="A368" t="str">
        <v/>
      </c>
      <c r="B368" t="str">
        <v>Paint Brush</v>
      </c>
      <c r="C368" t="str">
        <v>pcs</v>
      </c>
      <c r="D368">
        <v>1</v>
      </c>
      <c r="E368">
        <v>213.84</v>
      </c>
      <c r="F368">
        <v>213.84</v>
      </c>
      <c r="G368">
        <v>0.000004960716653411073</v>
      </c>
      <c r="H368" t="str">
        <v/>
      </c>
      <c r="I368" t="str">
        <v>pcs</v>
      </c>
      <c r="J368">
        <v>0</v>
      </c>
      <c r="K368">
        <v>0</v>
      </c>
      <c r="L368">
        <v>0</v>
      </c>
      <c r="M368">
        <f>K368+L368</f>
        <v>0</v>
      </c>
      <c r="N368">
        <f>M368/43106674.89</f>
        <v>0</v>
      </c>
      <c r="O368" t="str">
        <v>Ongoing</v>
      </c>
    </row>
    <row r="369">
      <c r="A369" t="str">
        <v>IV.C</v>
      </c>
      <c r="B369" t="str">
        <v>CHIPPING &amp; RESTORATION (ROUGH-ONLY)</v>
      </c>
      <c r="C369" t="str">
        <v>lot</v>
      </c>
      <c r="D369">
        <v>1</v>
      </c>
      <c r="E369">
        <v>737348.8400000002</v>
      </c>
      <c r="F369">
        <v>737348.8400000002</v>
      </c>
      <c r="G369">
        <v>0.017105212635434613</v>
      </c>
      <c r="H369">
        <v>1</v>
      </c>
      <c r="I369" t="str">
        <v>lot</v>
      </c>
      <c r="J369">
        <v>0</v>
      </c>
      <c r="K369">
        <v>0</v>
      </c>
      <c r="L369">
        <v>0</v>
      </c>
      <c r="M369">
        <f>K369+L369</f>
        <v>0</v>
      </c>
      <c r="N369">
        <f>M369/43106674.89</f>
        <v>0</v>
      </c>
      <c r="O369" t="str">
        <v>Ongoing</v>
      </c>
    </row>
    <row r="370">
      <c r="A370" t="str">
        <v>IV.D</v>
      </c>
      <c r="B370" t="str">
        <v>MISCELLANEOUS</v>
      </c>
      <c r="C370" t="str">
        <v>lot</v>
      </c>
      <c r="D370">
        <v>1</v>
      </c>
      <c r="E370">
        <v>7277.91</v>
      </c>
      <c r="F370">
        <v>7277.91</v>
      </c>
      <c r="G370">
        <v>0.0001688348734522399</v>
      </c>
      <c r="H370">
        <v>1</v>
      </c>
      <c r="I370" t="str">
        <v>lot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Ongoing</v>
      </c>
    </row>
    <row r="371">
      <c r="A371" t="str">
        <v>IV.E</v>
      </c>
      <c r="B371" t="str">
        <v>TESTING &amp; COMMISSIONING</v>
      </c>
      <c r="C371" t="str">
        <v>lot</v>
      </c>
      <c r="D371">
        <v>1</v>
      </c>
      <c r="E371">
        <v>44240.94</v>
      </c>
      <c r="F371">
        <v>44240.94</v>
      </c>
      <c r="G371">
        <v>0.0010263129808294055</v>
      </c>
      <c r="H371">
        <v>1</v>
      </c>
      <c r="I371" t="str">
        <v>lot</v>
      </c>
      <c r="J371">
        <v>0</v>
      </c>
      <c r="K371">
        <v>0</v>
      </c>
      <c r="L371">
        <v>0</v>
      </c>
      <c r="M371">
        <v>0</v>
      </c>
      <c r="N371">
        <v>0</v>
      </c>
      <c r="O371" t="str">
        <v>Ongoing</v>
      </c>
    </row>
    <row r="372">
      <c r="A372" t="str">
        <v>IV</v>
      </c>
      <c r="B372" t="str">
        <v>ELECTRICAL WORKS</v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>
        <v>0</v>
      </c>
      <c r="L372" t="str">
        <v/>
      </c>
      <c r="M372">
        <f>K372+L372</f>
        <v>0</v>
      </c>
      <c r="N372">
        <f>M372/43106674.89</f>
        <v>0</v>
      </c>
      <c r="O372" t="str">
        <v/>
      </c>
    </row>
    <row r="373">
      <c r="A373" t="str">
        <v/>
      </c>
      <c r="B373" t="str">
        <v>Electrical Works</v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>
        <v>0</v>
      </c>
      <c r="L373" t="str">
        <v/>
      </c>
      <c r="M373">
        <f>K373+L373</f>
        <v>0</v>
      </c>
      <c r="N373">
        <f>M373/43106674.89</f>
        <v>0</v>
      </c>
      <c r="O373" t="str">
        <v/>
      </c>
    </row>
    <row r="374">
      <c r="A374" t="str">
        <v>I.</v>
      </c>
      <c r="B374" t="str">
        <v>Service Entrance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>
        <v>0</v>
      </c>
      <c r="L374" t="str">
        <v/>
      </c>
      <c r="M374">
        <f>K374+L374</f>
        <v>0</v>
      </c>
      <c r="N374">
        <f>M374/43106674.89</f>
        <v>0</v>
      </c>
      <c r="O374" t="str">
        <v/>
      </c>
    </row>
    <row r="375">
      <c r="A375" t="str">
        <v>II.</v>
      </c>
      <c r="B375" t="str">
        <v>Feeder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>
        <v>0</v>
      </c>
      <c r="L375" t="str">
        <v/>
      </c>
      <c r="M375">
        <f>K375+L375</f>
        <v>0</v>
      </c>
      <c r="N375">
        <f>M375/43106674.89</f>
        <v>0</v>
      </c>
      <c r="O375" t="str">
        <v/>
      </c>
    </row>
    <row r="376">
      <c r="A376" t="str">
        <v/>
      </c>
      <c r="B376" t="str">
        <v>Feeder Wire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>
        <v>0</v>
      </c>
      <c r="L376" t="str">
        <v/>
      </c>
      <c r="M376">
        <f>K376+L376</f>
        <v>0</v>
      </c>
      <c r="N376">
        <f>M376/43106674.89</f>
        <v>0</v>
      </c>
      <c r="O376" t="str">
        <v/>
      </c>
    </row>
    <row r="377">
      <c r="A377" t="str">
        <v/>
      </c>
      <c r="B377" t="str">
        <v>250mm² THHN</v>
      </c>
      <c r="C377" t="str">
        <v>m</v>
      </c>
      <c r="D377">
        <v>726</v>
      </c>
      <c r="E377">
        <v>7092.3600000000015</v>
      </c>
      <c r="F377">
        <v>5149053.360000001</v>
      </c>
      <c r="G377">
        <v>0.11944909629748525</v>
      </c>
      <c r="H377" t="str">
        <v/>
      </c>
      <c r="I377" t="str">
        <v>m</v>
      </c>
      <c r="J377">
        <v>0</v>
      </c>
      <c r="K377">
        <v>0</v>
      </c>
      <c r="L377">
        <v>0</v>
      </c>
      <c r="M377">
        <f>K377+L377</f>
        <v>0</v>
      </c>
      <c r="N377">
        <f>M377/43106674.89</f>
        <v>0</v>
      </c>
      <c r="O377" t="str">
        <v>Ongoing</v>
      </c>
    </row>
    <row r="378">
      <c r="A378" t="str">
        <v/>
      </c>
      <c r="B378" t="str">
        <v>200mm² THHN</v>
      </c>
      <c r="C378" t="str">
        <v>m</v>
      </c>
      <c r="D378">
        <v>117</v>
      </c>
      <c r="E378">
        <v>5509.16</v>
      </c>
      <c r="F378">
        <v>644571.72</v>
      </c>
      <c r="G378">
        <v>0.014952944564729793</v>
      </c>
      <c r="H378" t="str">
        <v/>
      </c>
      <c r="I378" t="str">
        <v>m</v>
      </c>
      <c r="J378">
        <v>0</v>
      </c>
      <c r="K378">
        <v>0</v>
      </c>
      <c r="L378">
        <v>0</v>
      </c>
      <c r="M378">
        <f>K378+L378</f>
        <v>0</v>
      </c>
      <c r="N378">
        <f>M378/43106674.89</f>
        <v>0</v>
      </c>
      <c r="O378" t="str">
        <v>Ongoing</v>
      </c>
    </row>
    <row r="379">
      <c r="A379" t="str">
        <v/>
      </c>
      <c r="B379" t="str">
        <v>38mm² THHN</v>
      </c>
      <c r="C379" t="str">
        <v>m</v>
      </c>
      <c r="D379">
        <v>390</v>
      </c>
      <c r="E379">
        <v>1126.48</v>
      </c>
      <c r="F379">
        <v>439327.2</v>
      </c>
      <c r="G379">
        <v>0.010191628120727913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f>K379+L379</f>
        <v>0</v>
      </c>
      <c r="N379">
        <f>M379/43106674.89</f>
        <v>0</v>
      </c>
      <c r="O379" t="str">
        <v>Ongoing</v>
      </c>
    </row>
    <row r="380">
      <c r="A380" t="str">
        <v/>
      </c>
      <c r="B380" t="str">
        <v>for ground:</v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>
        <v>0</v>
      </c>
      <c r="L380" t="str">
        <v/>
      </c>
      <c r="M380" t="str">
        <v/>
      </c>
      <c r="N380" t="str">
        <v/>
      </c>
      <c r="O380" t="str">
        <v/>
      </c>
    </row>
    <row r="381">
      <c r="A381" t="str">
        <v/>
      </c>
      <c r="B381" t="str">
        <v>80mm² THHN</v>
      </c>
      <c r="C381" t="str">
        <v>m</v>
      </c>
      <c r="D381">
        <v>242</v>
      </c>
      <c r="E381">
        <v>2129.76</v>
      </c>
      <c r="F381">
        <v>515401.92000000004</v>
      </c>
      <c r="G381">
        <v>0.01195642951619922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>Ongoing</v>
      </c>
    </row>
    <row r="382">
      <c r="A382" t="str">
        <v/>
      </c>
      <c r="B382" t="str">
        <v>30mm² THHN</v>
      </c>
      <c r="C382" t="str">
        <v>m</v>
      </c>
      <c r="D382">
        <v>39</v>
      </c>
      <c r="E382">
        <v>823.6899999999999</v>
      </c>
      <c r="F382">
        <v>32123.909999999996</v>
      </c>
      <c r="G382">
        <v>0.0007452189268129371</v>
      </c>
      <c r="H382" t="str">
        <v/>
      </c>
      <c r="I382" t="str">
        <v>m</v>
      </c>
      <c r="J382">
        <v>0</v>
      </c>
      <c r="K382">
        <v>0</v>
      </c>
      <c r="L382">
        <v>0</v>
      </c>
      <c r="M382">
        <f>K382+L382</f>
        <v>0</v>
      </c>
      <c r="N382">
        <f>M382/43106674.89</f>
        <v>0</v>
      </c>
      <c r="O382" t="str">
        <v>Ongoing</v>
      </c>
    </row>
    <row r="383">
      <c r="A383" t="str">
        <v/>
      </c>
      <c r="B383" t="str">
        <v>14mm² THHN</v>
      </c>
      <c r="C383" t="str">
        <v>m</v>
      </c>
      <c r="D383">
        <v>130</v>
      </c>
      <c r="E383">
        <v>358.86999999999995</v>
      </c>
      <c r="F383">
        <v>46653.09999999999</v>
      </c>
      <c r="G383">
        <v>0.0010822709039620842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f>K383+L383</f>
        <v>0</v>
      </c>
      <c r="N383">
        <f>M383/43106674.89</f>
        <v>0</v>
      </c>
      <c r="O383" t="str">
        <v>Ongoing</v>
      </c>
    </row>
    <row r="384">
      <c r="A384" t="str">
        <v/>
      </c>
      <c r="B384" t="str">
        <v>Roughing-ins</v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>
        <v>0</v>
      </c>
      <c r="L384" t="str">
        <v/>
      </c>
      <c r="M384">
        <f>K384+L384</f>
        <v>0</v>
      </c>
      <c r="N384">
        <f>M384/43106674.89</f>
        <v>0</v>
      </c>
      <c r="O384" t="str">
        <v/>
      </c>
    </row>
    <row r="385">
      <c r="A385" t="str">
        <v/>
      </c>
      <c r="B385" t="str">
        <v>90mm dia. IMC</v>
      </c>
      <c r="C385" t="str">
        <v>length/s</v>
      </c>
      <c r="D385">
        <v>94</v>
      </c>
      <c r="E385">
        <v>9301.67</v>
      </c>
      <c r="F385">
        <v>874356.98</v>
      </c>
      <c r="G385">
        <v>0.02028356356019553</v>
      </c>
      <c r="H385" t="str">
        <v/>
      </c>
      <c r="I385" t="str">
        <v>length/s</v>
      </c>
      <c r="J385">
        <v>0</v>
      </c>
      <c r="K385">
        <v>0</v>
      </c>
      <c r="L385">
        <v>0</v>
      </c>
      <c r="M385">
        <f>K385+L385</f>
        <v>0</v>
      </c>
      <c r="N385">
        <f>M385/43106674.89</f>
        <v>0</v>
      </c>
      <c r="O385" t="str">
        <v>Ongoing</v>
      </c>
    </row>
    <row r="386">
      <c r="A386" t="str">
        <v/>
      </c>
      <c r="B386" t="str">
        <v>40mm dia. IMC</v>
      </c>
      <c r="C386" t="str">
        <v>length/s</v>
      </c>
      <c r="D386">
        <v>45</v>
      </c>
      <c r="E386">
        <v>2672.8999999999996</v>
      </c>
      <c r="F386">
        <v>120280.49999999999</v>
      </c>
      <c r="G386">
        <v>0.0027902987253582605</v>
      </c>
      <c r="H386" t="str">
        <v/>
      </c>
      <c r="I386" t="str">
        <v>length/s</v>
      </c>
      <c r="J386">
        <v>0</v>
      </c>
      <c r="K386">
        <v>0</v>
      </c>
      <c r="L386">
        <v>0</v>
      </c>
      <c r="M386">
        <f>K386+L386</f>
        <v>0</v>
      </c>
      <c r="N386">
        <f>M386/43106674.89</f>
        <v>0</v>
      </c>
      <c r="O386" t="str">
        <v>Ongoing</v>
      </c>
    </row>
    <row r="387">
      <c r="A387" t="str">
        <v>III.</v>
      </c>
      <c r="B387" t="str">
        <v>Panel Board &amp; Pullbox</v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>
        <v>0</v>
      </c>
      <c r="L387" t="str">
        <v/>
      </c>
      <c r="M387">
        <f>K387+L387</f>
        <v>0</v>
      </c>
      <c r="N387">
        <f>M387/43106674.89</f>
        <v>0</v>
      </c>
      <c r="O387" t="str">
        <v/>
      </c>
    </row>
    <row r="388">
      <c r="A388" t="str">
        <v/>
      </c>
      <c r="B388" t="str">
        <v>DP-Main</v>
      </c>
      <c r="C388" t="str">
        <v>Assy</v>
      </c>
      <c r="D388">
        <v>1</v>
      </c>
      <c r="E388">
        <v>772225.4500000001</v>
      </c>
      <c r="F388">
        <v>772225.4500000001</v>
      </c>
      <c r="G388">
        <v>0.01791428942201113</v>
      </c>
      <c r="H388" t="str">
        <v/>
      </c>
      <c r="I388" t="str">
        <v>Assy</v>
      </c>
      <c r="J388">
        <v>0</v>
      </c>
      <c r="K388">
        <v>0</v>
      </c>
      <c r="L388">
        <v>0</v>
      </c>
      <c r="M388">
        <f>K388+L388</f>
        <v>0</v>
      </c>
      <c r="N388">
        <f>M388/43106674.89</f>
        <v>0</v>
      </c>
      <c r="O388" t="str">
        <v>Ongoing</v>
      </c>
    </row>
    <row r="389">
      <c r="A389" t="str">
        <v/>
      </c>
      <c r="B389" t="str">
        <v>Main CB: 1200AT, 3P, 230V, 60Hz, Bolt-on Nema12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>
        <v>0</v>
      </c>
      <c r="L389" t="str">
        <v/>
      </c>
      <c r="M389">
        <f>K389+L389</f>
        <v>0</v>
      </c>
      <c r="N389">
        <f>M389/43106674.89</f>
        <v>0</v>
      </c>
      <c r="O389" t="str">
        <v/>
      </c>
    </row>
    <row r="390">
      <c r="A390" t="str">
        <v/>
      </c>
      <c r="B390" t="str">
        <v>Branches: 1 - 700AT, 3P</v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>
        <f>K390+L390</f>
        <v>0</v>
      </c>
      <c r="N390">
        <f>M390/43106674.89</f>
        <v>0</v>
      </c>
      <c r="O390" t="str">
        <v/>
      </c>
    </row>
    <row r="391">
      <c r="A391" t="str">
        <v/>
      </c>
      <c r="B391" t="str">
        <v xml:space="preserve">4 - 125AT, 3P 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>
        <v>0</v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PP-System A</v>
      </c>
      <c r="C392" t="str">
        <v>Assy</v>
      </c>
      <c r="D392">
        <v>1</v>
      </c>
      <c r="E392">
        <v>125827.10999999999</v>
      </c>
      <c r="F392">
        <v>125827.10999999999</v>
      </c>
      <c r="G392">
        <v>0.002918970445321674</v>
      </c>
      <c r="H392" t="str">
        <v/>
      </c>
      <c r="I392" t="str">
        <v>Assy</v>
      </c>
      <c r="J392">
        <v>0</v>
      </c>
      <c r="K392">
        <v>0</v>
      </c>
      <c r="L392">
        <v>0</v>
      </c>
      <c r="M392">
        <v>0</v>
      </c>
      <c r="N392">
        <v>0</v>
      </c>
      <c r="O392" t="str">
        <v>Ongoing</v>
      </c>
    </row>
    <row r="393">
      <c r="A393" t="str">
        <v/>
      </c>
      <c r="B393" t="str">
        <v>Main CB: 125AT, 3P, 230V, 60Hz, Bolt-on Nema12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>
        <v>0</v>
      </c>
      <c r="L393" t="str">
        <v/>
      </c>
      <c r="M393">
        <f>K393+L393</f>
        <v>0</v>
      </c>
      <c r="N393">
        <f>M393/43106674.89</f>
        <v>0</v>
      </c>
      <c r="O393" t="str">
        <v/>
      </c>
    </row>
    <row r="394">
      <c r="A394" t="str">
        <v/>
      </c>
      <c r="B394" t="str">
        <v>Branches: 2 - 40AT, 3P</v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>
        <v>0</v>
      </c>
      <c r="L394" t="str">
        <v/>
      </c>
      <c r="M394">
        <f>K394+L394</f>
        <v>0</v>
      </c>
      <c r="N394">
        <f>M394/43106674.89</f>
        <v>0</v>
      </c>
      <c r="O394" t="str">
        <v/>
      </c>
    </row>
    <row r="395">
      <c r="A395" t="str">
        <v/>
      </c>
      <c r="B395" t="str">
        <v xml:space="preserve">3 - 40AT, 2P 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>
        <v>0</v>
      </c>
      <c r="L395" t="str">
        <v/>
      </c>
      <c r="M395">
        <f>K395+L395</f>
        <v>0</v>
      </c>
      <c r="N395">
        <f>M395/43106674.89</f>
        <v>0</v>
      </c>
      <c r="O395" t="str">
        <v/>
      </c>
    </row>
    <row r="396">
      <c r="A396" t="str">
        <v/>
      </c>
      <c r="B396" t="str">
        <v xml:space="preserve">9 - 30AT, 2P 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>
        <v>0</v>
      </c>
      <c r="L396" t="str">
        <v/>
      </c>
      <c r="M396">
        <f>K396+L396</f>
        <v>0</v>
      </c>
      <c r="N396">
        <f>M396/43106674.89</f>
        <v>0</v>
      </c>
      <c r="O396" t="str">
        <v/>
      </c>
    </row>
    <row r="397">
      <c r="A397" t="str">
        <v/>
      </c>
      <c r="B397" t="str">
        <v>PP-System B</v>
      </c>
      <c r="C397" t="str">
        <v>Assy</v>
      </c>
      <c r="D397">
        <v>1</v>
      </c>
      <c r="E397">
        <v>135268.13</v>
      </c>
      <c r="F397">
        <v>135268.13</v>
      </c>
      <c r="G397">
        <v>0.0031379857143975587</v>
      </c>
      <c r="H397" t="str">
        <v/>
      </c>
      <c r="I397" t="str">
        <v>Assy</v>
      </c>
      <c r="J397">
        <v>0</v>
      </c>
      <c r="K397">
        <v>0</v>
      </c>
      <c r="L397">
        <v>0</v>
      </c>
      <c r="M397">
        <f>K397+L397</f>
        <v>0</v>
      </c>
      <c r="N397">
        <f>M397/43106674.89</f>
        <v>0</v>
      </c>
      <c r="O397" t="str">
        <v>Ongoing</v>
      </c>
    </row>
    <row r="398">
      <c r="A398" t="str">
        <v/>
      </c>
      <c r="B398" t="str">
        <v>Main CB: 125AT, 3P, 230V, 60Hz, Bolt-on Nema12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>
        <v>0</v>
      </c>
      <c r="L398" t="str">
        <v/>
      </c>
      <c r="M398">
        <f>K398+L398</f>
        <v>0</v>
      </c>
      <c r="N398">
        <f>M398/43106674.89</f>
        <v>0</v>
      </c>
      <c r="O398" t="str">
        <v/>
      </c>
    </row>
    <row r="399">
      <c r="A399" t="str">
        <v/>
      </c>
      <c r="B399" t="str">
        <v>Branches: 1 - 40AT, 3P</v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>
        <v>0</v>
      </c>
      <c r="L399" t="str">
        <v/>
      </c>
      <c r="M399">
        <f>K399+L399</f>
        <v>0</v>
      </c>
      <c r="N399">
        <f>M399/43106674.89</f>
        <v>0</v>
      </c>
      <c r="O399" t="str">
        <v/>
      </c>
    </row>
    <row r="400">
      <c r="A400" t="str">
        <v/>
      </c>
      <c r="B400" t="str">
        <v xml:space="preserve">2 - 40AT, 2P 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>
        <v>0</v>
      </c>
      <c r="L400" t="str">
        <v/>
      </c>
      <c r="M400">
        <f>K400+L400</f>
        <v>0</v>
      </c>
      <c r="N400">
        <f>M400/43106674.89</f>
        <v>0</v>
      </c>
      <c r="O400" t="str">
        <v/>
      </c>
    </row>
    <row r="401">
      <c r="A401" t="str">
        <v/>
      </c>
      <c r="B401" t="str">
        <v xml:space="preserve">11 - 30AT, 2P 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>
        <v>0</v>
      </c>
      <c r="L401" t="str">
        <v/>
      </c>
      <c r="M401">
        <f>K401+L401</f>
        <v>0</v>
      </c>
      <c r="N401">
        <f>M401/43106674.89</f>
        <v>0</v>
      </c>
      <c r="O401" t="str">
        <v/>
      </c>
    </row>
    <row r="402">
      <c r="A402" t="str">
        <v/>
      </c>
      <c r="B402" t="str">
        <v>PP-System C</v>
      </c>
      <c r="C402" t="str">
        <v>Assy</v>
      </c>
      <c r="D402">
        <v>1</v>
      </c>
      <c r="E402">
        <v>120190.81999999999</v>
      </c>
      <c r="F402">
        <v>120190.81999999999</v>
      </c>
      <c r="G402">
        <v>0.0027882183050932123</v>
      </c>
      <c r="H402" t="str">
        <v/>
      </c>
      <c r="I402" t="str">
        <v>Assy</v>
      </c>
      <c r="J402">
        <v>0</v>
      </c>
      <c r="K402">
        <v>0</v>
      </c>
      <c r="L402">
        <v>0</v>
      </c>
      <c r="M402">
        <v>0</v>
      </c>
      <c r="N402">
        <v>0</v>
      </c>
      <c r="O402" t="str">
        <v>Ongoing</v>
      </c>
    </row>
    <row r="403">
      <c r="A403" t="str">
        <v/>
      </c>
      <c r="B403" t="str">
        <v>Main CB: 125AT, 3P, 230V, 60Hz, Bolt-on Nema12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>
        <v>0</v>
      </c>
      <c r="L403" t="str">
        <v/>
      </c>
      <c r="M403">
        <f>K403+L403</f>
        <v>0</v>
      </c>
      <c r="N403">
        <f>M403/43106674.89</f>
        <v>0</v>
      </c>
      <c r="O403" t="str">
        <v/>
      </c>
    </row>
    <row r="404">
      <c r="A404" t="str">
        <v/>
      </c>
      <c r="B404" t="str">
        <v>Branches: 2 - 40AT, 3P</v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>
        <v>0</v>
      </c>
      <c r="L404" t="str">
        <v/>
      </c>
      <c r="M404" t="str">
        <v/>
      </c>
      <c r="N404" t="str">
        <v/>
      </c>
      <c r="O404" t="str">
        <v/>
      </c>
    </row>
    <row r="405">
      <c r="A405" t="str">
        <v/>
      </c>
      <c r="B405" t="str">
        <v xml:space="preserve">7 - 40AT, 2P 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>
        <v>0</v>
      </c>
      <c r="L405" t="str">
        <v/>
      </c>
      <c r="M405">
        <f>K405+L405</f>
        <v>0</v>
      </c>
      <c r="N405">
        <f>M405/43106674.89</f>
        <v>0</v>
      </c>
      <c r="O405" t="str">
        <v/>
      </c>
    </row>
    <row r="406">
      <c r="A406" t="str">
        <v/>
      </c>
      <c r="B406" t="str">
        <v xml:space="preserve">5 - 30AT, 2P 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>
        <v>0</v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>PP-System D</v>
      </c>
      <c r="C407" t="str">
        <v>Assy</v>
      </c>
      <c r="D407">
        <v>1</v>
      </c>
      <c r="E407">
        <v>131472.25</v>
      </c>
      <c r="F407">
        <v>131472.25</v>
      </c>
      <c r="G407">
        <v>0.003049927890181556</v>
      </c>
      <c r="H407" t="str">
        <v/>
      </c>
      <c r="I407" t="str">
        <v>Assy</v>
      </c>
      <c r="J407">
        <v>0</v>
      </c>
      <c r="K407">
        <v>0</v>
      </c>
      <c r="L407">
        <v>0</v>
      </c>
      <c r="M407">
        <f>K407+L407</f>
        <v>0</v>
      </c>
      <c r="N407">
        <f>M407/43106674.89</f>
        <v>0</v>
      </c>
      <c r="O407" t="str">
        <v>Ongoing</v>
      </c>
    </row>
    <row r="408">
      <c r="A408" t="str">
        <v/>
      </c>
      <c r="B408" t="str">
        <v>Main CB: 125AT, 3P, 230V, 60Hz, Bolt-on Nema12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>
        <v>0</v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Branches: 3 - 40AT, 3P</v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>
        <f>K409+L409</f>
        <v>0</v>
      </c>
      <c r="N409">
        <f>M409/43106674.89</f>
        <v>0</v>
      </c>
      <c r="O409" t="str">
        <v/>
      </c>
    </row>
    <row r="410">
      <c r="A410" t="str">
        <v/>
      </c>
      <c r="B410" t="str">
        <v xml:space="preserve">4 - 40AT, 2P 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>
        <v>0</v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 xml:space="preserve">8 - 30AT, 2P 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>
        <v>0</v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>PP-Outdoor</v>
      </c>
      <c r="C412" t="str">
        <v>Assy</v>
      </c>
      <c r="D412">
        <v>1</v>
      </c>
      <c r="E412">
        <v>473575.57</v>
      </c>
      <c r="F412">
        <v>473575.57</v>
      </c>
      <c r="G412">
        <v>0.010986130830282648</v>
      </c>
      <c r="H412" t="str">
        <v/>
      </c>
      <c r="I412" t="str">
        <v>Assy</v>
      </c>
      <c r="J412">
        <v>0</v>
      </c>
      <c r="K412">
        <v>0</v>
      </c>
      <c r="L412">
        <v>0</v>
      </c>
      <c r="M412">
        <f>K412+L412</f>
        <v>0</v>
      </c>
      <c r="N412">
        <f>M412/43106674.89</f>
        <v>0</v>
      </c>
      <c r="O412" t="str">
        <v>Ongoing</v>
      </c>
    </row>
    <row r="413">
      <c r="A413" t="str">
        <v/>
      </c>
      <c r="B413" t="str">
        <v>Main CB: 700AT, 3P, 230V, 60Hz, Bolt-on Nema12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>
        <f>K413+L413</f>
        <v>0</v>
      </c>
      <c r="N413">
        <f>M413/43106674.89</f>
        <v>0</v>
      </c>
      <c r="O413" t="str">
        <v/>
      </c>
    </row>
    <row r="414">
      <c r="A414" t="str">
        <v/>
      </c>
      <c r="B414" t="str">
        <v>Branches: 4 - 150AT, 3P</v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>
        <v>0</v>
      </c>
      <c r="L414" t="str">
        <v/>
      </c>
      <c r="M414" t="str">
        <v/>
      </c>
      <c r="N414" t="str">
        <v/>
      </c>
      <c r="O414" t="str">
        <v/>
      </c>
    </row>
    <row r="415">
      <c r="A415" t="str">
        <v/>
      </c>
      <c r="B415" t="str">
        <v>Transformer</v>
      </c>
      <c r="C415" t="str">
        <v>Assy</v>
      </c>
      <c r="D415">
        <v>1</v>
      </c>
      <c r="E415">
        <v>932598.8200000001</v>
      </c>
      <c r="F415">
        <v>932598.8200000001</v>
      </c>
      <c r="G415">
        <v>0.021634673107582846</v>
      </c>
      <c r="H415" t="str">
        <v/>
      </c>
      <c r="I415" t="str">
        <v>Assy</v>
      </c>
      <c r="J415">
        <v>0</v>
      </c>
      <c r="K415">
        <v>0</v>
      </c>
      <c r="L415">
        <v>0</v>
      </c>
      <c r="M415">
        <v>0</v>
      </c>
      <c r="N415">
        <v>0</v>
      </c>
      <c r="O415" t="str">
        <v>Ongoing</v>
      </c>
    </row>
    <row r="416" xml:space="preserve">
      <c r="A416" t="str">
        <v/>
      </c>
      <c r="B416" t="str" xml:space="preserve">
        <v xml:space="preserve">500KVA Step Down Dry Type Transformer, 480V to 230V, 3P_x000d_
Floor mounted, Indoor Type, 60Hz, Nema1 "TRANSPHIL"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>
        <v>0</v>
      </c>
      <c r="L416" t="str">
        <v/>
      </c>
      <c r="M416">
        <f>K416+L416</f>
        <v>0</v>
      </c>
      <c r="N416">
        <f>M416/43106674.89</f>
        <v>0</v>
      </c>
      <c r="O416" t="str">
        <v/>
      </c>
    </row>
    <row r="417">
      <c r="A417" t="str">
        <v/>
      </c>
      <c r="B417" t="str">
        <v>ECB 1250AT Nema 12</v>
      </c>
      <c r="C417" t="str">
        <v>pc</v>
      </c>
      <c r="D417">
        <v>1</v>
      </c>
      <c r="E417">
        <v>302047.59</v>
      </c>
      <c r="F417">
        <v>302047.59</v>
      </c>
      <c r="G417">
        <v>0.007006979563391694</v>
      </c>
      <c r="H417" t="str">
        <v/>
      </c>
      <c r="I417" t="str">
        <v>pc</v>
      </c>
      <c r="J417">
        <v>0</v>
      </c>
      <c r="K417">
        <v>0</v>
      </c>
      <c r="L417">
        <v>0</v>
      </c>
      <c r="M417">
        <f>K417+L417</f>
        <v>0</v>
      </c>
      <c r="N417">
        <f>M417/43106674.89</f>
        <v>0</v>
      </c>
      <c r="O417" t="str">
        <v>Ongoing</v>
      </c>
    </row>
    <row r="418">
      <c r="A418" t="str">
        <v/>
      </c>
      <c r="B418" t="str">
        <v>Pullbox (350mm x 350mm x 200mm)</v>
      </c>
      <c r="C418" t="str">
        <v>pc</v>
      </c>
      <c r="D418">
        <v>5</v>
      </c>
      <c r="E418">
        <v>5538.24</v>
      </c>
      <c r="F418">
        <v>27691.199999999997</v>
      </c>
      <c r="G418">
        <v>0.0006423877524922217</v>
      </c>
      <c r="H418" t="str">
        <v/>
      </c>
      <c r="I418" t="str">
        <v>pc</v>
      </c>
      <c r="J418">
        <v>0</v>
      </c>
      <c r="K418">
        <v>0</v>
      </c>
      <c r="L418">
        <v>0</v>
      </c>
      <c r="M418">
        <v>0</v>
      </c>
      <c r="N418">
        <v>0</v>
      </c>
      <c r="O418" t="str">
        <v>Ongoing</v>
      </c>
    </row>
    <row r="419">
      <c r="A419" t="str">
        <v/>
      </c>
      <c r="B419" t="str">
        <v>Wire Gutter</v>
      </c>
      <c r="C419" t="str">
        <v>lot</v>
      </c>
      <c r="D419">
        <v>1</v>
      </c>
      <c r="E419">
        <v>32074.68</v>
      </c>
      <c r="F419">
        <v>32074.68</v>
      </c>
      <c r="G419">
        <v>0.0007440768763039237</v>
      </c>
      <c r="H419" t="str">
        <v/>
      </c>
      <c r="I419" t="str">
        <v>lot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>Ongoing</v>
      </c>
    </row>
    <row r="420">
      <c r="A420" t="str">
        <v>IV.</v>
      </c>
      <c r="B420" t="str">
        <v>Mechanical System Power Supply</v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>
        <f>K420+L420</f>
        <v>0</v>
      </c>
      <c r="N420">
        <f>M420/43106674.89</f>
        <v>0</v>
      </c>
      <c r="O420" t="str">
        <v/>
      </c>
    </row>
    <row r="421">
      <c r="A421" t="str">
        <v/>
      </c>
      <c r="B421" t="str">
        <v>ECB's</v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>
        <v>0</v>
      </c>
      <c r="L421" t="str">
        <v/>
      </c>
      <c r="M421" t="str">
        <v/>
      </c>
      <c r="N421" t="str">
        <v/>
      </c>
      <c r="O421" t="str">
        <v/>
      </c>
    </row>
    <row r="422">
      <c r="A422" t="str">
        <v/>
      </c>
      <c r="B422" t="str">
        <v>ECB 150AT, 3P, 230V, Nema3R</v>
      </c>
      <c r="C422" t="str">
        <v>pc</v>
      </c>
      <c r="D422">
        <v>4</v>
      </c>
      <c r="E422">
        <v>29019.109999999993</v>
      </c>
      <c r="F422">
        <v>116076.43999999997</v>
      </c>
      <c r="G422">
        <v>0.002692771833972461</v>
      </c>
      <c r="H422" t="str">
        <v/>
      </c>
      <c r="I422" t="str">
        <v>pc</v>
      </c>
      <c r="J422">
        <v>0</v>
      </c>
      <c r="K422">
        <v>0</v>
      </c>
      <c r="L422">
        <v>0</v>
      </c>
      <c r="M422">
        <v>0</v>
      </c>
      <c r="N422">
        <v>0</v>
      </c>
      <c r="O422" t="str">
        <v>Ongoing</v>
      </c>
    </row>
    <row r="423">
      <c r="A423" t="str">
        <v/>
      </c>
      <c r="B423" t="str">
        <v>ECB 40AT, 3P, 230V, Nema3R</v>
      </c>
      <c r="C423" t="str">
        <v>pc</v>
      </c>
      <c r="D423">
        <v>7</v>
      </c>
      <c r="E423">
        <v>11083.84</v>
      </c>
      <c r="F423">
        <v>77586.88</v>
      </c>
      <c r="G423">
        <v>0.0017998808815105059</v>
      </c>
      <c r="H423" t="str">
        <v/>
      </c>
      <c r="I423" t="str">
        <v>pc</v>
      </c>
      <c r="J423">
        <v>0</v>
      </c>
      <c r="K423">
        <v>0</v>
      </c>
      <c r="L423">
        <v>0</v>
      </c>
      <c r="M423">
        <f>K423+L423</f>
        <v>0</v>
      </c>
      <c r="N423">
        <f>M423/43106674.89</f>
        <v>0</v>
      </c>
      <c r="O423" t="str">
        <v>Ongoing</v>
      </c>
    </row>
    <row r="424">
      <c r="A424" t="str">
        <v/>
      </c>
      <c r="B424" t="str">
        <v>ECB 40AT, 2P, 230V, Nema3R</v>
      </c>
      <c r="C424" t="str">
        <v>pc</v>
      </c>
      <c r="D424">
        <v>16</v>
      </c>
      <c r="E424">
        <v>9429.220000000001</v>
      </c>
      <c r="F424">
        <v>150867.52000000002</v>
      </c>
      <c r="G424">
        <v>0.003499864473077199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f>K424+L424</f>
        <v>0</v>
      </c>
      <c r="N424">
        <f>M424/43106674.89</f>
        <v>0</v>
      </c>
      <c r="O424" t="str">
        <v>Ongoing</v>
      </c>
    </row>
    <row r="425">
      <c r="A425" t="str">
        <v/>
      </c>
      <c r="B425" t="str">
        <v>ECB 30AT, 2P, 230V, Nema3R</v>
      </c>
      <c r="C425" t="str">
        <v>pc</v>
      </c>
      <c r="D425">
        <v>23</v>
      </c>
      <c r="E425">
        <v>9429.22</v>
      </c>
      <c r="F425">
        <v>216872.06</v>
      </c>
      <c r="G425">
        <v>0.005031055180048472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f>K425+L425</f>
        <v>0</v>
      </c>
      <c r="N425">
        <f>M425/43106674.89</f>
        <v>0</v>
      </c>
      <c r="O425" t="str">
        <v>Ongoing</v>
      </c>
    </row>
    <row r="426">
      <c r="A426" t="str">
        <v/>
      </c>
      <c r="B426" t="str">
        <v>Roughing-ins</v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>
        <v>0</v>
      </c>
      <c r="L426" t="str">
        <v/>
      </c>
      <c r="M426">
        <f>K426+L426</f>
        <v>0</v>
      </c>
      <c r="N426">
        <f>M426/43106674.89</f>
        <v>0</v>
      </c>
      <c r="O426" t="str">
        <v/>
      </c>
    </row>
    <row r="427">
      <c r="A427" t="str">
        <v/>
      </c>
      <c r="B427" t="str">
        <v>40mm dia. IMC</v>
      </c>
      <c r="C427" t="str">
        <v>length/s</v>
      </c>
      <c r="D427">
        <v>49</v>
      </c>
      <c r="E427">
        <v>2672.9</v>
      </c>
      <c r="F427">
        <v>130972.1</v>
      </c>
      <c r="G427">
        <v>0.00303832527872344</v>
      </c>
      <c r="H427" t="str">
        <v/>
      </c>
      <c r="I427" t="str">
        <v>length/s</v>
      </c>
      <c r="J427">
        <v>0</v>
      </c>
      <c r="K427">
        <v>0</v>
      </c>
      <c r="L427">
        <v>0</v>
      </c>
      <c r="M427">
        <f>K427+L427</f>
        <v>0</v>
      </c>
      <c r="N427">
        <f>M427/43106674.89</f>
        <v>0</v>
      </c>
      <c r="O427" t="str">
        <v>Ongoing</v>
      </c>
    </row>
    <row r="428">
      <c r="A428" t="str">
        <v/>
      </c>
      <c r="B428" t="str">
        <v>25mm dia. IMC</v>
      </c>
      <c r="C428" t="str">
        <v>length/s</v>
      </c>
      <c r="D428">
        <v>1003</v>
      </c>
      <c r="E428">
        <v>1753.43</v>
      </c>
      <c r="F428">
        <v>1758690.29</v>
      </c>
      <c r="G428">
        <v>0.040798560651867516</v>
      </c>
      <c r="H428" t="str">
        <v/>
      </c>
      <c r="I428" t="str">
        <v>length/s</v>
      </c>
      <c r="J428">
        <v>0</v>
      </c>
      <c r="K428">
        <v>0</v>
      </c>
      <c r="L428">
        <v>0</v>
      </c>
      <c r="M428">
        <f>K428+L428</f>
        <v>0</v>
      </c>
      <c r="N428">
        <f>M428/43106674.89</f>
        <v>0</v>
      </c>
      <c r="O428" t="str">
        <v>Ongoing</v>
      </c>
    </row>
    <row r="429">
      <c r="A429" t="str">
        <v/>
      </c>
      <c r="B429" t="str">
        <v>Boxes</v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</row>
    <row r="430">
      <c r="A430" t="str">
        <v/>
      </c>
      <c r="B430" t="str">
        <v>Junction boxes with cover</v>
      </c>
      <c r="C430" t="str">
        <v>pc/s</v>
      </c>
      <c r="D430">
        <v>195</v>
      </c>
      <c r="E430">
        <v>125.85</v>
      </c>
      <c r="F430">
        <v>24540.75</v>
      </c>
      <c r="G430">
        <v>0.0005693027834464916</v>
      </c>
      <c r="H430" t="str">
        <v/>
      </c>
      <c r="I430" t="str">
        <v>pc/s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>Ongoing</v>
      </c>
    </row>
    <row r="431">
      <c r="A431" t="str">
        <v/>
      </c>
      <c r="B431" t="str">
        <v>Wires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>
        <v>0</v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50mm² THHN</v>
      </c>
      <c r="C432" t="str">
        <v>Lm/s</v>
      </c>
      <c r="D432">
        <v>429</v>
      </c>
      <c r="E432">
        <v>1395.9000000000003</v>
      </c>
      <c r="F432">
        <v>598841.1000000001</v>
      </c>
      <c r="G432">
        <v>0.01389207359482326</v>
      </c>
      <c r="H432" t="str">
        <v/>
      </c>
      <c r="I432" t="str">
        <v>Lm/s</v>
      </c>
      <c r="J432">
        <v>0</v>
      </c>
      <c r="K432">
        <v>0</v>
      </c>
      <c r="L432">
        <v>0</v>
      </c>
      <c r="M432">
        <f>K432+L432</f>
        <v>0</v>
      </c>
      <c r="N432">
        <f>M432/43106674.89</f>
        <v>0</v>
      </c>
      <c r="O432" t="str">
        <v>Ongoing</v>
      </c>
    </row>
    <row r="433">
      <c r="A433" t="str">
        <v/>
      </c>
      <c r="B433" t="str">
        <v>5.5mm² THHN</v>
      </c>
      <c r="C433" t="str">
        <v>Lm/s</v>
      </c>
      <c r="D433">
        <v>6798</v>
      </c>
      <c r="E433">
        <v>144.13</v>
      </c>
      <c r="F433">
        <v>979795.74</v>
      </c>
      <c r="G433">
        <v>0.022729559691167345</v>
      </c>
      <c r="H433" t="str">
        <v/>
      </c>
      <c r="I433" t="str">
        <v>Lm/s</v>
      </c>
      <c r="J433">
        <v>0</v>
      </c>
      <c r="K433">
        <v>0</v>
      </c>
      <c r="L433">
        <v>0</v>
      </c>
      <c r="M433">
        <f>K433+L433</f>
        <v>0</v>
      </c>
      <c r="N433">
        <f>M433/43106674.89</f>
        <v>0</v>
      </c>
      <c r="O433" t="str">
        <v>Ongoing</v>
      </c>
    </row>
    <row r="434">
      <c r="A434" t="str">
        <v/>
      </c>
      <c r="B434" t="str">
        <v>for ground:</v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>
        <v>0</v>
      </c>
      <c r="L434" t="str">
        <v/>
      </c>
      <c r="M434">
        <f>K434+L434</f>
        <v>0</v>
      </c>
      <c r="N434">
        <f>M434/43106674.89</f>
        <v>0</v>
      </c>
      <c r="O434" t="str">
        <v/>
      </c>
    </row>
    <row r="435">
      <c r="A435" t="str">
        <v/>
      </c>
      <c r="B435" t="str">
        <v>14mm² THHN</v>
      </c>
      <c r="C435" t="str">
        <v>Lm/s</v>
      </c>
      <c r="D435">
        <v>143</v>
      </c>
      <c r="E435">
        <v>358.86999999999995</v>
      </c>
      <c r="F435">
        <v>51318.40999999999</v>
      </c>
      <c r="G435">
        <v>0.0011904979943582925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>Ongoing</v>
      </c>
    </row>
    <row r="436">
      <c r="A436" t="str">
        <v/>
      </c>
      <c r="B436" t="str">
        <v>5.5mm² THHN</v>
      </c>
      <c r="C436" t="str">
        <v>Lm/s</v>
      </c>
      <c r="D436">
        <v>3185</v>
      </c>
      <c r="E436">
        <v>144.13000000000002</v>
      </c>
      <c r="F436">
        <v>459054.0500000001</v>
      </c>
      <c r="G436">
        <v>0.010649256783814065</v>
      </c>
      <c r="H436" t="str">
        <v/>
      </c>
      <c r="I436" t="str">
        <v>Lm/s</v>
      </c>
      <c r="J436">
        <v>0</v>
      </c>
      <c r="K436">
        <v>0</v>
      </c>
      <c r="L436">
        <v>0</v>
      </c>
      <c r="M436">
        <f>K436+L436</f>
        <v>0</v>
      </c>
      <c r="N436">
        <f>M436/43106674.89</f>
        <v>0</v>
      </c>
      <c r="O436" t="str">
        <v>Ongoing</v>
      </c>
    </row>
    <row r="437">
      <c r="A437" t="str">
        <v>V.</v>
      </c>
      <c r="B437" t="str">
        <v>Chipping &amp; Restoration Works (Rough only)</v>
      </c>
      <c r="C437" t="str">
        <v>lot</v>
      </c>
      <c r="D437">
        <v>1</v>
      </c>
      <c r="E437">
        <v>145441.09</v>
      </c>
      <c r="F437">
        <v>145441.09</v>
      </c>
      <c r="G437">
        <v>0.0033739807204136675</v>
      </c>
      <c r="H437">
        <v>1</v>
      </c>
      <c r="I437" t="str">
        <v>lot</v>
      </c>
      <c r="J437">
        <v>0</v>
      </c>
      <c r="K437">
        <v>0</v>
      </c>
      <c r="L437">
        <v>0</v>
      </c>
      <c r="M437">
        <f>K437+L437</f>
        <v>0</v>
      </c>
      <c r="N437">
        <f>M437/43106674.89</f>
        <v>0</v>
      </c>
      <c r="O437" t="str">
        <v>Ongoing</v>
      </c>
    </row>
    <row r="438">
      <c r="A438" t="str">
        <v>VI.</v>
      </c>
      <c r="B438" t="str">
        <v>Hangers &amp; Supports</v>
      </c>
      <c r="C438" t="str">
        <v>lot</v>
      </c>
      <c r="D438">
        <v>1</v>
      </c>
      <c r="E438">
        <v>174529.31</v>
      </c>
      <c r="F438">
        <v>174529.31</v>
      </c>
      <c r="G438">
        <v>0.0040487769108929275</v>
      </c>
      <c r="H438">
        <v>1</v>
      </c>
      <c r="I438" t="str">
        <v>lot</v>
      </c>
      <c r="J438">
        <v>0</v>
      </c>
      <c r="K438">
        <v>0</v>
      </c>
      <c r="L438">
        <v>0</v>
      </c>
      <c r="M438">
        <f>K438+L438</f>
        <v>0</v>
      </c>
      <c r="N438">
        <f>M438/43106674.89</f>
        <v>0</v>
      </c>
      <c r="O438" t="str">
        <v>Ongoing</v>
      </c>
    </row>
    <row r="439">
      <c r="A439" t="str">
        <v>VII.</v>
      </c>
      <c r="B439" t="str">
        <v>Miscelleneuos</v>
      </c>
      <c r="C439" t="str">
        <v>lot</v>
      </c>
      <c r="D439">
        <v>1</v>
      </c>
      <c r="E439">
        <v>87264.66</v>
      </c>
      <c r="F439">
        <v>87264.66</v>
      </c>
      <c r="G439">
        <v>0.002024388571437781</v>
      </c>
      <c r="H439">
        <v>1</v>
      </c>
      <c r="I439" t="str">
        <v>lot</v>
      </c>
      <c r="J439">
        <v>0</v>
      </c>
      <c r="K439">
        <v>0</v>
      </c>
      <c r="L439">
        <v>0</v>
      </c>
      <c r="M439">
        <f>K439+L439</f>
        <v>0</v>
      </c>
      <c r="N439">
        <f>M439/43106674.89</f>
        <v>0</v>
      </c>
      <c r="O439" t="str">
        <v>Ongoing</v>
      </c>
    </row>
    <row r="440">
      <c r="A440" t="str">
        <v>VIII.</v>
      </c>
      <c r="B440" t="str">
        <v>Testing &amp; Commissioning</v>
      </c>
      <c r="C440" t="str">
        <v>lot</v>
      </c>
      <c r="D440">
        <v>1</v>
      </c>
      <c r="E440">
        <v>884818.61</v>
      </c>
      <c r="F440">
        <v>884818.61</v>
      </c>
      <c r="G440">
        <v>0.020526255208918057</v>
      </c>
      <c r="H440">
        <v>1</v>
      </c>
      <c r="I440" t="str">
        <v>lot</v>
      </c>
      <c r="J440">
        <v>0</v>
      </c>
      <c r="K440">
        <v>0</v>
      </c>
      <c r="L440">
        <v>0</v>
      </c>
      <c r="M440">
        <v>0</v>
      </c>
      <c r="N440">
        <v>0</v>
      </c>
      <c r="O440" t="str">
        <v>Ongoing</v>
      </c>
    </row>
    <row r="441">
      <c r="A441" t="str">
        <v/>
      </c>
      <c r="B441" t="str">
        <v>TOTAL PROJECT COST</v>
      </c>
      <c r="C441" t="str">
        <v/>
      </c>
      <c r="D441" t="str">
        <v/>
      </c>
      <c r="E441" t="str">
        <v/>
      </c>
      <c r="F441">
        <v>43106674.890000015</v>
      </c>
      <c r="G441">
        <v>1</v>
      </c>
      <c r="H441" t="str">
        <v/>
      </c>
      <c r="I441" t="str">
        <v/>
      </c>
      <c r="J441">
        <v>0</v>
      </c>
      <c r="K441">
        <v>0</v>
      </c>
      <c r="L441">
        <v>0</v>
      </c>
      <c r="M441">
        <f>K441+L441</f>
        <v>0</v>
      </c>
      <c r="N441">
        <f>M441/43106674.89</f>
        <v>0</v>
      </c>
      <c r="O441" t="str">
        <v>Ongoing</v>
      </c>
    </row>
    <row r="442">
      <c r="A442" t="str">
        <v>IV.B</v>
      </c>
      <c r="B442" t="str">
        <v>CONSUMABLES</v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>
        <f>K442+L442</f>
        <v>0</v>
      </c>
      <c r="N442">
        <f>M442/43106674.89</f>
        <v>0</v>
      </c>
      <c r="O442" t="str">
        <v/>
      </c>
    </row>
    <row r="443">
      <c r="A443" t="str">
        <v/>
      </c>
      <c r="B443" t="str">
        <v>Vibration Isolator</v>
      </c>
      <c r="C443" t="str">
        <v>pcs</v>
      </c>
      <c r="D443">
        <v>20</v>
      </c>
      <c r="E443">
        <v>1389.91</v>
      </c>
      <c r="F443">
        <v>27798.2</v>
      </c>
      <c r="G443">
        <v>0.0006448699666800023</v>
      </c>
      <c r="H443" t="str">
        <v/>
      </c>
      <c r="I443" t="str">
        <v>pcs</v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>Ongoing</v>
      </c>
    </row>
    <row r="444">
      <c r="A444" t="str">
        <v/>
      </c>
      <c r="B444" t="str">
        <v>Angle Bar, 2x2x 1/4 (6 meters)</v>
      </c>
      <c r="C444" t="str">
        <v>length/s</v>
      </c>
      <c r="D444">
        <v>7</v>
      </c>
      <c r="E444">
        <v>2523.2200000000003</v>
      </c>
      <c r="F444">
        <v>17662.54</v>
      </c>
      <c r="G444">
        <v>0.00040974025589010106</v>
      </c>
      <c r="H444" t="str">
        <v/>
      </c>
      <c r="I444" t="str">
        <v>length/s</v>
      </c>
      <c r="J444">
        <v>0</v>
      </c>
      <c r="K444">
        <v>0</v>
      </c>
      <c r="L444">
        <v>0</v>
      </c>
      <c r="M444">
        <v>0</v>
      </c>
      <c r="N444">
        <v>0</v>
      </c>
      <c r="O444" t="str">
        <v>Ongoing</v>
      </c>
    </row>
    <row r="445">
      <c r="A445" t="str">
        <v/>
      </c>
      <c r="B445" t="str">
        <v>Rugby</v>
      </c>
      <c r="C445" t="str">
        <v>bottle</v>
      </c>
      <c r="D445">
        <v>24</v>
      </c>
      <c r="E445">
        <v>277.99000000000007</v>
      </c>
      <c r="F445">
        <v>6671.760000000002</v>
      </c>
      <c r="G445">
        <v>0.00015477324606978052</v>
      </c>
      <c r="H445" t="str">
        <v/>
      </c>
      <c r="I445" t="str">
        <v>bottle</v>
      </c>
      <c r="J445">
        <v>0</v>
      </c>
      <c r="K445">
        <v>0</v>
      </c>
      <c r="L445">
        <v>0</v>
      </c>
      <c r="M445">
        <f>K445+L445</f>
        <v>0</v>
      </c>
      <c r="N445">
        <f>M445/43106674.89</f>
        <v>0</v>
      </c>
      <c r="O445" t="str">
        <v>Ongoing</v>
      </c>
    </row>
    <row r="446">
      <c r="A446" t="str">
        <v/>
      </c>
      <c r="B446" t="str">
        <v>White Tape</v>
      </c>
      <c r="C446" t="str">
        <v>rolls</v>
      </c>
      <c r="D446">
        <v>47</v>
      </c>
      <c r="E446">
        <v>374.2199999999999</v>
      </c>
      <c r="F446">
        <v>17588.339999999997</v>
      </c>
      <c r="G446">
        <v>0.00040801894474306065</v>
      </c>
      <c r="H446" t="str">
        <v/>
      </c>
      <c r="I446" t="str">
        <v>rolls</v>
      </c>
      <c r="J446">
        <v>0</v>
      </c>
      <c r="K446">
        <v>0</v>
      </c>
      <c r="L446">
        <v>0</v>
      </c>
      <c r="M446">
        <f>K446+L446</f>
        <v>0</v>
      </c>
      <c r="N446">
        <f>M446/43106674.89</f>
        <v>0</v>
      </c>
      <c r="O446" t="str">
        <v>Ongoing</v>
      </c>
    </row>
    <row r="447">
      <c r="A447" t="str">
        <v/>
      </c>
      <c r="B447" t="str">
        <v>Threaded rod 3/8 (6 meters)</v>
      </c>
      <c r="C447" t="str">
        <v>length/s</v>
      </c>
      <c r="D447">
        <v>104</v>
      </c>
      <c r="E447">
        <v>171.07</v>
      </c>
      <c r="F447">
        <v>17791.28</v>
      </c>
      <c r="G447">
        <v>0.0004127268003250063</v>
      </c>
      <c r="H447" t="str">
        <v/>
      </c>
      <c r="I447" t="str">
        <v>length/s</v>
      </c>
      <c r="J447">
        <v>0</v>
      </c>
      <c r="K447">
        <v>0</v>
      </c>
      <c r="L447">
        <v>0</v>
      </c>
      <c r="M447">
        <f>K447+L447</f>
        <v>0</v>
      </c>
      <c r="N447">
        <f>M447/43106674.89</f>
        <v>0</v>
      </c>
      <c r="O447" t="str">
        <v>Ongoing</v>
      </c>
    </row>
    <row r="448">
      <c r="A448" t="str">
        <v/>
      </c>
      <c r="B448" t="str">
        <v>Nuts and washer 3/8</v>
      </c>
      <c r="C448" t="str">
        <v>pcs</v>
      </c>
      <c r="D448">
        <v>32</v>
      </c>
      <c r="E448">
        <v>21.39</v>
      </c>
      <c r="F448">
        <v>684.48</v>
      </c>
      <c r="G448">
        <v>0.000015878747357495374</v>
      </c>
      <c r="H448" t="str">
        <v/>
      </c>
      <c r="I448" t="str">
        <v>pcs</v>
      </c>
      <c r="J448">
        <v>0</v>
      </c>
      <c r="K448">
        <v>0</v>
      </c>
      <c r="L448">
        <v>0</v>
      </c>
      <c r="M448">
        <f>K448+L448</f>
        <v>0</v>
      </c>
      <c r="N448">
        <f>M448/43106674.89</f>
        <v>0</v>
      </c>
      <c r="O448" t="str">
        <v>Ongoing</v>
      </c>
    </row>
    <row r="449">
      <c r="A449" t="str">
        <v/>
      </c>
      <c r="B449" t="str">
        <v>Grip Anchor 3/8</v>
      </c>
      <c r="C449" t="str">
        <v>pcs</v>
      </c>
      <c r="D449">
        <v>32</v>
      </c>
      <c r="E449">
        <v>10.699999999999998</v>
      </c>
      <c r="F449">
        <v>342.3999999999999</v>
      </c>
      <c r="G449">
        <v>0.000007943085400897639</v>
      </c>
      <c r="H449" t="str">
        <v/>
      </c>
      <c r="I449" t="str">
        <v>pcs</v>
      </c>
      <c r="J449">
        <v>0</v>
      </c>
      <c r="K449">
        <v>0</v>
      </c>
      <c r="L449">
        <v>0</v>
      </c>
      <c r="M449">
        <f>K449+L449</f>
        <v>0</v>
      </c>
      <c r="N449">
        <f>M449/43106674.89</f>
        <v>0</v>
      </c>
      <c r="O449" t="str">
        <v>Ongoing</v>
      </c>
    </row>
    <row r="450">
      <c r="A450" t="str">
        <v/>
      </c>
      <c r="B450" t="str">
        <v>Paint (Red Oxide)</v>
      </c>
      <c r="C450" t="str">
        <v>gallon</v>
      </c>
      <c r="D450">
        <v>1</v>
      </c>
      <c r="E450">
        <v>3432</v>
      </c>
      <c r="F450">
        <v>3432</v>
      </c>
      <c r="G450">
        <v>0.000079616440116474</v>
      </c>
      <c r="H450" t="str">
        <v/>
      </c>
      <c r="I450" t="str">
        <v>gallon</v>
      </c>
      <c r="J450">
        <v>0</v>
      </c>
      <c r="K450">
        <v>0</v>
      </c>
      <c r="L450">
        <v>0</v>
      </c>
      <c r="M450">
        <f>K450+L450</f>
        <v>0</v>
      </c>
      <c r="N450">
        <f>M450/43106674.89</f>
        <v>0</v>
      </c>
      <c r="O450" t="str">
        <v>Ongoing</v>
      </c>
    </row>
    <row r="451">
      <c r="A451" t="str">
        <v/>
      </c>
      <c r="B451" t="str">
        <v>Loop Hangers</v>
      </c>
      <c r="C451" t="str">
        <v>pcs</v>
      </c>
      <c r="D451">
        <v>393</v>
      </c>
      <c r="E451">
        <v>42.78</v>
      </c>
      <c r="F451">
        <v>16812.54</v>
      </c>
      <c r="G451">
        <v>0.0003900217319684802</v>
      </c>
      <c r="H451" t="str">
        <v/>
      </c>
      <c r="I451" t="str">
        <v>pcs</v>
      </c>
      <c r="J451">
        <v>0</v>
      </c>
      <c r="K451">
        <v>0</v>
      </c>
      <c r="L451">
        <v>0</v>
      </c>
      <c r="M451">
        <f>K451+L451</f>
        <v>0</v>
      </c>
      <c r="N451">
        <f>M451/43106674.89</f>
        <v>0</v>
      </c>
      <c r="O451" t="str">
        <v>Ongoing</v>
      </c>
    </row>
    <row r="452">
      <c r="A452" t="str">
        <v/>
      </c>
      <c r="B452" t="str">
        <v>Freon</v>
      </c>
      <c r="C452" t="str">
        <v>tank</v>
      </c>
      <c r="D452">
        <v>8</v>
      </c>
      <c r="E452">
        <v>14497.769999999999</v>
      </c>
      <c r="F452">
        <v>115982.15999999999</v>
      </c>
      <c r="G452">
        <v>0.002690584701695602</v>
      </c>
      <c r="H452" t="str">
        <v/>
      </c>
      <c r="I452" t="str">
        <v>tank</v>
      </c>
      <c r="J452">
        <v>0</v>
      </c>
      <c r="K452">
        <v>0</v>
      </c>
      <c r="L452">
        <v>0</v>
      </c>
      <c r="M452">
        <f>K452+L452</f>
        <v>0</v>
      </c>
      <c r="N452">
        <f>M452/43106674.89</f>
        <v>0</v>
      </c>
      <c r="O452" t="str">
        <v>Ongoing</v>
      </c>
    </row>
    <row r="453">
      <c r="A453" t="str">
        <v/>
      </c>
      <c r="B453" t="str">
        <v>Nitrogen</v>
      </c>
      <c r="C453" t="str">
        <v>tank</v>
      </c>
      <c r="D453">
        <v>4</v>
      </c>
      <c r="E453">
        <v>18175.66</v>
      </c>
      <c r="F453">
        <v>72702.64</v>
      </c>
      <c r="G453">
        <v>0.0016865749952999906</v>
      </c>
      <c r="H453" t="str">
        <v/>
      </c>
      <c r="I453" t="str">
        <v>tank</v>
      </c>
      <c r="J453">
        <v>0</v>
      </c>
      <c r="K453">
        <v>0</v>
      </c>
      <c r="L453">
        <v>0</v>
      </c>
      <c r="M453">
        <f>K453+L453</f>
        <v>0</v>
      </c>
      <c r="N453">
        <f>M453/43106674.89</f>
        <v>0</v>
      </c>
      <c r="O453" t="str">
        <v>Ongoing</v>
      </c>
    </row>
    <row r="454">
      <c r="A454" t="str">
        <v/>
      </c>
      <c r="B454" t="str">
        <v>Mapp Gas</v>
      </c>
      <c r="C454" t="str">
        <v>tank</v>
      </c>
      <c r="D454">
        <v>12</v>
      </c>
      <c r="E454">
        <v>812.5699999999998</v>
      </c>
      <c r="F454">
        <v>9750.839999999998</v>
      </c>
      <c r="G454">
        <v>0.00022620255505399745</v>
      </c>
      <c r="H454" t="str">
        <v/>
      </c>
      <c r="I454" t="str">
        <v>tank</v>
      </c>
      <c r="J454">
        <v>0</v>
      </c>
      <c r="K454">
        <v>0</v>
      </c>
      <c r="L454">
        <v>0</v>
      </c>
      <c r="M454">
        <f>K454+L454</f>
        <v>0</v>
      </c>
      <c r="N454">
        <f>M454/43106674.89</f>
        <v>0</v>
      </c>
      <c r="O454" t="str">
        <v>Ongoing</v>
      </c>
    </row>
    <row r="455">
      <c r="A455" t="str">
        <v/>
      </c>
      <c r="B455" t="str">
        <v>Silver Rod</v>
      </c>
      <c r="C455" t="str">
        <v>pcs</v>
      </c>
      <c r="D455">
        <v>158</v>
      </c>
      <c r="E455">
        <v>53.47</v>
      </c>
      <c r="F455">
        <v>8448.26</v>
      </c>
      <c r="G455">
        <v>0.0001959849610659682</v>
      </c>
      <c r="H455" t="str">
        <v/>
      </c>
      <c r="I455" t="str">
        <v>pcs</v>
      </c>
      <c r="J455">
        <v>0</v>
      </c>
      <c r="K455">
        <v>0</v>
      </c>
      <c r="L455">
        <v>0</v>
      </c>
      <c r="M455">
        <f>K455+L455</f>
        <v>0</v>
      </c>
      <c r="N455">
        <f>M455/43106674.89</f>
        <v>0</v>
      </c>
      <c r="O455" t="str">
        <v>Ongoing</v>
      </c>
    </row>
    <row r="456">
      <c r="A456" t="str">
        <v/>
      </c>
      <c r="B456" t="str">
        <v>Paint Brush</v>
      </c>
      <c r="C456" t="str">
        <v>pcs</v>
      </c>
      <c r="D456">
        <v>1</v>
      </c>
      <c r="E456">
        <v>213.84</v>
      </c>
      <c r="F456">
        <v>213.84</v>
      </c>
      <c r="G456">
        <v>0.000004960716653411073</v>
      </c>
      <c r="H456" t="str">
        <v/>
      </c>
      <c r="I456" t="str">
        <v>pcs</v>
      </c>
      <c r="J456">
        <v>0</v>
      </c>
      <c r="K456">
        <v>0</v>
      </c>
      <c r="L456">
        <v>0</v>
      </c>
      <c r="M456">
        <f>K456+L456</f>
        <v>0</v>
      </c>
      <c r="N456">
        <f>M456/43106674.89</f>
        <v>0</v>
      </c>
      <c r="O456" t="str">
        <v>Ongoing</v>
      </c>
    </row>
    <row r="457">
      <c r="A457" t="str">
        <v>IV.C</v>
      </c>
      <c r="B457" t="str">
        <v>CHIPPING &amp; RESTORATION (ROUGH-ONLY)</v>
      </c>
      <c r="C457" t="str">
        <v>lot</v>
      </c>
      <c r="D457">
        <v>1</v>
      </c>
      <c r="E457">
        <v>737348.8400000002</v>
      </c>
      <c r="F457">
        <v>737348.8400000002</v>
      </c>
      <c r="G457">
        <v>0.017105212635434613</v>
      </c>
      <c r="H457">
        <v>1</v>
      </c>
      <c r="I457" t="str">
        <v>lot</v>
      </c>
      <c r="J457">
        <v>0</v>
      </c>
      <c r="K457">
        <v>0</v>
      </c>
      <c r="L457">
        <v>0</v>
      </c>
      <c r="M457">
        <f>K457+L457</f>
        <v>0</v>
      </c>
      <c r="N457">
        <f>M457/43106674.89</f>
        <v>0</v>
      </c>
      <c r="O457" t="str">
        <v>Ongoing</v>
      </c>
    </row>
    <row r="458">
      <c r="A458" t="str">
        <v>IV.D</v>
      </c>
      <c r="B458" t="str">
        <v>MISCELLANEOUS</v>
      </c>
      <c r="C458" t="str">
        <v>lot</v>
      </c>
      <c r="D458">
        <v>1</v>
      </c>
      <c r="E458">
        <v>7277.91</v>
      </c>
      <c r="F458">
        <v>7277.91</v>
      </c>
      <c r="G458">
        <v>0.0001688348734522399</v>
      </c>
      <c r="H458">
        <v>1</v>
      </c>
      <c r="I458" t="str">
        <v>lot</v>
      </c>
      <c r="J458">
        <v>0</v>
      </c>
      <c r="K458">
        <v>0</v>
      </c>
      <c r="L458">
        <v>0</v>
      </c>
      <c r="M458">
        <f>K458+L458</f>
        <v>0</v>
      </c>
      <c r="N458">
        <f>M458/43106674.89</f>
        <v>0</v>
      </c>
      <c r="O458" t="str">
        <v>Ongoing</v>
      </c>
    </row>
    <row r="459">
      <c r="A459" t="str">
        <v>IV.E</v>
      </c>
      <c r="B459" t="str">
        <v>TESTING &amp; COMMISSIONING</v>
      </c>
      <c r="C459" t="str">
        <v>lot</v>
      </c>
      <c r="D459">
        <v>1</v>
      </c>
      <c r="E459">
        <v>44240.94</v>
      </c>
      <c r="F459">
        <v>44240.94</v>
      </c>
      <c r="G459">
        <v>0.0010263129808294055</v>
      </c>
      <c r="H459">
        <v>1</v>
      </c>
      <c r="I459" t="str">
        <v>lot</v>
      </c>
      <c r="J459">
        <v>0</v>
      </c>
      <c r="K459">
        <v>0</v>
      </c>
      <c r="L459">
        <v>0</v>
      </c>
      <c r="M459">
        <v>0</v>
      </c>
      <c r="N459">
        <v>0</v>
      </c>
      <c r="O459" t="str">
        <v>Ongoing</v>
      </c>
    </row>
    <row r="460">
      <c r="A460" t="str">
        <v>IV</v>
      </c>
      <c r="B460" t="str">
        <v>ELECTRICAL WORKS</v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>
        <f>K460+L460</f>
        <v>0</v>
      </c>
      <c r="N460">
        <f>M460/43106674.89</f>
        <v>0</v>
      </c>
      <c r="O460" t="str">
        <v/>
      </c>
    </row>
    <row r="461">
      <c r="A461" t="str">
        <v/>
      </c>
      <c r="B461" t="str">
        <v>Electrical Works</v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>
        <v>0</v>
      </c>
      <c r="L461" t="str">
        <v/>
      </c>
      <c r="M461" t="str">
        <v/>
      </c>
      <c r="N461" t="str">
        <v/>
      </c>
      <c r="O461" t="str">
        <v/>
      </c>
    </row>
    <row r="462">
      <c r="A462" t="str">
        <v>I.</v>
      </c>
      <c r="B462" t="str">
        <v>Service Entrance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>
        <f>K462+L462</f>
        <v>0</v>
      </c>
      <c r="N462">
        <f>M462/43106674.89</f>
        <v>0</v>
      </c>
      <c r="O462" t="str">
        <v/>
      </c>
    </row>
    <row r="463">
      <c r="A463" t="str">
        <v>II.</v>
      </c>
      <c r="B463" t="str">
        <v>Feeder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>
        <v>0</v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/>
      </c>
      <c r="B464" t="str">
        <v>Feeder Wire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>
        <f>K464+L464</f>
        <v>0</v>
      </c>
      <c r="N464">
        <f>M464/43106674.89</f>
        <v>0</v>
      </c>
      <c r="O464" t="str">
        <v/>
      </c>
    </row>
    <row r="465">
      <c r="A465" t="str">
        <v/>
      </c>
      <c r="B465" t="str">
        <v>250mm² THHN</v>
      </c>
      <c r="C465" t="str">
        <v>m</v>
      </c>
      <c r="D465">
        <v>726</v>
      </c>
      <c r="E465">
        <v>7092.3600000000015</v>
      </c>
      <c r="F465">
        <v>5149053.360000001</v>
      </c>
      <c r="G465">
        <v>0.11944909629748525</v>
      </c>
      <c r="H465" t="str">
        <v/>
      </c>
      <c r="I465" t="str">
        <v>m</v>
      </c>
      <c r="J465">
        <v>0</v>
      </c>
      <c r="K465">
        <v>0</v>
      </c>
      <c r="L465">
        <v>0</v>
      </c>
      <c r="M465">
        <v>0</v>
      </c>
      <c r="N465">
        <v>0</v>
      </c>
      <c r="O465" t="str">
        <v>Ongoing</v>
      </c>
    </row>
    <row r="466">
      <c r="A466" t="str">
        <v/>
      </c>
      <c r="B466" t="str">
        <v>200mm² THHN</v>
      </c>
      <c r="C466" t="str">
        <v>m</v>
      </c>
      <c r="D466">
        <v>117</v>
      </c>
      <c r="E466">
        <v>5509.16</v>
      </c>
      <c r="F466">
        <v>644571.72</v>
      </c>
      <c r="G466">
        <v>0.014952944564729793</v>
      </c>
      <c r="H466" t="str">
        <v/>
      </c>
      <c r="I466" t="str">
        <v>m</v>
      </c>
      <c r="J466">
        <v>0</v>
      </c>
      <c r="K466">
        <v>0</v>
      </c>
      <c r="L466">
        <v>0</v>
      </c>
      <c r="M466">
        <v>0</v>
      </c>
      <c r="N466">
        <v>0</v>
      </c>
      <c r="O466" t="str">
        <v>Ongoing</v>
      </c>
    </row>
    <row r="467">
      <c r="A467" t="str">
        <v/>
      </c>
      <c r="B467" t="str">
        <v>38mm² THHN</v>
      </c>
      <c r="C467" t="str">
        <v>m</v>
      </c>
      <c r="D467">
        <v>390</v>
      </c>
      <c r="E467">
        <v>1126.48</v>
      </c>
      <c r="F467">
        <v>439327.2</v>
      </c>
      <c r="G467">
        <v>0.010191628120727913</v>
      </c>
      <c r="H467" t="str">
        <v/>
      </c>
      <c r="I467" t="str">
        <v>m</v>
      </c>
      <c r="J467">
        <v>0</v>
      </c>
      <c r="K467">
        <v>0</v>
      </c>
      <c r="L467">
        <v>0</v>
      </c>
      <c r="M467">
        <v>0</v>
      </c>
      <c r="N467">
        <v>0</v>
      </c>
      <c r="O467" t="str">
        <v>Ongoing</v>
      </c>
    </row>
    <row r="468">
      <c r="A468" t="str">
        <v/>
      </c>
      <c r="B468" t="str">
        <v>for ground:</v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</row>
    <row r="469">
      <c r="A469" t="str">
        <v/>
      </c>
      <c r="B469" t="str">
        <v>80mm² THHN</v>
      </c>
      <c r="C469" t="str">
        <v>m</v>
      </c>
      <c r="D469">
        <v>242</v>
      </c>
      <c r="E469">
        <v>2129.76</v>
      </c>
      <c r="F469">
        <v>515401.92000000004</v>
      </c>
      <c r="G469">
        <v>0.01195642951619922</v>
      </c>
      <c r="H469" t="str">
        <v/>
      </c>
      <c r="I469" t="str">
        <v>m</v>
      </c>
      <c r="J469">
        <v>0</v>
      </c>
      <c r="K469">
        <v>0</v>
      </c>
      <c r="L469">
        <v>0</v>
      </c>
      <c r="M469">
        <v>0</v>
      </c>
      <c r="N469">
        <v>0</v>
      </c>
      <c r="O469" t="str">
        <v>Ongoing</v>
      </c>
    </row>
    <row r="470">
      <c r="A470" t="str">
        <v/>
      </c>
      <c r="B470" t="str">
        <v>30mm² THHN</v>
      </c>
      <c r="C470" t="str">
        <v>m</v>
      </c>
      <c r="D470">
        <v>39</v>
      </c>
      <c r="E470">
        <v>823.6899999999999</v>
      </c>
      <c r="F470">
        <v>32123.909999999996</v>
      </c>
      <c r="G470">
        <v>0.0007452189268129371</v>
      </c>
      <c r="H470" t="str">
        <v/>
      </c>
      <c r="I470" t="str">
        <v>m</v>
      </c>
      <c r="J470">
        <v>0</v>
      </c>
      <c r="K470">
        <v>0</v>
      </c>
      <c r="L470">
        <v>0</v>
      </c>
      <c r="M470">
        <v>0</v>
      </c>
      <c r="N470">
        <v>0</v>
      </c>
      <c r="O470" t="str">
        <v>Ongoing</v>
      </c>
    </row>
    <row r="471">
      <c r="A471" t="str">
        <v/>
      </c>
      <c r="B471" t="str">
        <v>14mm² THHN</v>
      </c>
      <c r="C471" t="str">
        <v>m</v>
      </c>
      <c r="D471">
        <v>130</v>
      </c>
      <c r="E471">
        <v>358.86999999999995</v>
      </c>
      <c r="F471">
        <v>46653.09999999999</v>
      </c>
      <c r="G471">
        <v>0.0010822709039620842</v>
      </c>
      <c r="H471" t="str">
        <v/>
      </c>
      <c r="I471" t="str">
        <v>m</v>
      </c>
      <c r="J471">
        <v>0</v>
      </c>
      <c r="K471">
        <v>0</v>
      </c>
      <c r="L471">
        <v>0</v>
      </c>
      <c r="M471">
        <v>0</v>
      </c>
      <c r="N471">
        <v>0</v>
      </c>
      <c r="O471" t="str">
        <v>Ongoing</v>
      </c>
    </row>
    <row r="472">
      <c r="A472" t="str">
        <v/>
      </c>
      <c r="B472" t="str">
        <v>Roughing-ins</v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</row>
    <row r="473">
      <c r="A473" t="str">
        <v/>
      </c>
      <c r="B473" t="str">
        <v>90mm dia. IMC</v>
      </c>
      <c r="C473" t="str">
        <v>length/s</v>
      </c>
      <c r="D473">
        <v>94</v>
      </c>
      <c r="E473">
        <v>9301.67</v>
      </c>
      <c r="F473">
        <v>874356.98</v>
      </c>
      <c r="G473">
        <v>0.02028356356019553</v>
      </c>
      <c r="H473" t="str">
        <v/>
      </c>
      <c r="I473" t="str">
        <v>length/s</v>
      </c>
      <c r="J473">
        <v>0</v>
      </c>
      <c r="K473">
        <v>0</v>
      </c>
      <c r="L473">
        <v>0</v>
      </c>
      <c r="M473">
        <v>0</v>
      </c>
      <c r="N473">
        <v>0</v>
      </c>
      <c r="O473" t="str">
        <v>Ongoing</v>
      </c>
    </row>
    <row r="474">
      <c r="A474" t="str">
        <v/>
      </c>
      <c r="B474" t="str">
        <v>40mm dia. IMC</v>
      </c>
      <c r="C474" t="str">
        <v>length/s</v>
      </c>
      <c r="D474">
        <v>45</v>
      </c>
      <c r="E474">
        <v>2672.8999999999996</v>
      </c>
      <c r="F474">
        <v>120280.49999999999</v>
      </c>
      <c r="G474">
        <v>0.0027902987253582605</v>
      </c>
      <c r="H474" t="str">
        <v/>
      </c>
      <c r="I474" t="str">
        <v>length/s</v>
      </c>
      <c r="J474">
        <v>0</v>
      </c>
      <c r="K474">
        <v>0</v>
      </c>
      <c r="L474">
        <v>0</v>
      </c>
      <c r="M474">
        <f>K474+L474</f>
        <v>0</v>
      </c>
      <c r="N474">
        <f>M474/43106674.89</f>
        <v>0</v>
      </c>
      <c r="O474" t="str">
        <v>Ongoing</v>
      </c>
    </row>
    <row r="475">
      <c r="A475" t="str">
        <v>III.</v>
      </c>
      <c r="B475" t="str">
        <v>Panel Board &amp; Pullbox</v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>
        <v>0</v>
      </c>
      <c r="L475" t="str">
        <v/>
      </c>
      <c r="M475">
        <f>K475+L475</f>
        <v>0</v>
      </c>
      <c r="N475">
        <f>M475/43106674.89</f>
        <v>0</v>
      </c>
      <c r="O475" t="str">
        <v/>
      </c>
    </row>
    <row r="476">
      <c r="A476" t="str">
        <v/>
      </c>
      <c r="B476" t="str">
        <v>DP-Main</v>
      </c>
      <c r="C476" t="str">
        <v>Assy</v>
      </c>
      <c r="D476">
        <v>1</v>
      </c>
      <c r="E476">
        <v>772225.4500000001</v>
      </c>
      <c r="F476">
        <v>772225.4500000001</v>
      </c>
      <c r="G476">
        <v>0.01791428942201113</v>
      </c>
      <c r="H476" t="str">
        <v/>
      </c>
      <c r="I476" t="str">
        <v>Assy</v>
      </c>
      <c r="J476">
        <v>0</v>
      </c>
      <c r="K476">
        <v>0</v>
      </c>
      <c r="L476">
        <v>0</v>
      </c>
      <c r="M476">
        <f>K476+L476</f>
        <v>0</v>
      </c>
      <c r="N476">
        <f>M476/43106674.89</f>
        <v>0</v>
      </c>
      <c r="O476" t="str">
        <v>Ongoing</v>
      </c>
    </row>
    <row r="477">
      <c r="A477" t="str">
        <v/>
      </c>
      <c r="B477" t="str">
        <v>Main CB: 1200AT, 3P, 230V, 60Hz, Bolt-on Nema12</v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>
        <v>0</v>
      </c>
      <c r="L477" t="str">
        <v/>
      </c>
      <c r="M477" t="str">
        <v/>
      </c>
      <c r="N477" t="str">
        <v/>
      </c>
      <c r="O477" t="str">
        <v/>
      </c>
    </row>
    <row r="478">
      <c r="A478" t="str">
        <v/>
      </c>
      <c r="B478" t="str">
        <v>Branches: 1 - 700AT, 3P</v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>
        <v>0</v>
      </c>
      <c r="L478" t="str">
        <v/>
      </c>
      <c r="M478">
        <f>K478+L478</f>
        <v>0</v>
      </c>
      <c r="N478">
        <f>M478/43106674.89</f>
        <v>0</v>
      </c>
      <c r="O478" t="str">
        <v/>
      </c>
    </row>
    <row r="479">
      <c r="A479" t="str">
        <v/>
      </c>
      <c r="B479" t="str">
        <v xml:space="preserve">4 - 125AT, 3P 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>
        <v>0</v>
      </c>
      <c r="L479" t="str">
        <v/>
      </c>
      <c r="M479">
        <f>K479+L479</f>
        <v>0</v>
      </c>
      <c r="N479">
        <f>M479/43106674.89</f>
        <v>0</v>
      </c>
      <c r="O479" t="str">
        <v/>
      </c>
    </row>
    <row r="480">
      <c r="A480" t="str">
        <v/>
      </c>
      <c r="B480" t="str">
        <v>PP-System A</v>
      </c>
      <c r="C480" t="str">
        <v>Assy</v>
      </c>
      <c r="D480">
        <v>1</v>
      </c>
      <c r="E480">
        <v>125827.10999999999</v>
      </c>
      <c r="F480">
        <v>125827.10999999999</v>
      </c>
      <c r="G480">
        <v>0.002918970445321674</v>
      </c>
      <c r="H480" t="str">
        <v/>
      </c>
      <c r="I480" t="str">
        <v>Assy</v>
      </c>
      <c r="J480">
        <v>0</v>
      </c>
      <c r="K480">
        <v>0</v>
      </c>
      <c r="L480">
        <v>0</v>
      </c>
      <c r="M480">
        <f>K480+L480</f>
        <v>0</v>
      </c>
      <c r="N480">
        <f>M480/43106674.89</f>
        <v>0</v>
      </c>
      <c r="O480" t="str">
        <v>Ongoing</v>
      </c>
    </row>
    <row r="481">
      <c r="A481" t="str">
        <v/>
      </c>
      <c r="B481" t="str">
        <v>Main CB: 125AT, 3P, 230V, 60Hz, Bolt-on Nema12</v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>
        <v>0</v>
      </c>
      <c r="L481" t="str">
        <v/>
      </c>
      <c r="M481" t="str">
        <v/>
      </c>
      <c r="N481" t="str">
        <v/>
      </c>
      <c r="O481" t="str">
        <v/>
      </c>
    </row>
    <row r="482">
      <c r="A482" t="str">
        <v/>
      </c>
      <c r="B482" t="str">
        <v>Branches: 2 - 40AT, 3P</v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>
        <v>0</v>
      </c>
      <c r="L482" t="str">
        <v/>
      </c>
      <c r="M482">
        <f>K482+L482</f>
        <v>0</v>
      </c>
      <c r="N482">
        <f>M482/43106674.89</f>
        <v>0</v>
      </c>
      <c r="O482" t="str">
        <v/>
      </c>
    </row>
    <row r="483">
      <c r="A483" t="str">
        <v/>
      </c>
      <c r="B483" t="str">
        <v xml:space="preserve">3 - 40AT, 2P 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>
        <f>K483+L483</f>
        <v>0</v>
      </c>
      <c r="N483">
        <f>M483/43106674.89</f>
        <v>0</v>
      </c>
      <c r="O483" t="str">
        <v/>
      </c>
    </row>
    <row r="484">
      <c r="A484" t="str">
        <v/>
      </c>
      <c r="B484" t="str">
        <v xml:space="preserve">9 - 30AT, 2P 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>PP-System B</v>
      </c>
      <c r="C485" t="str">
        <v>Assy</v>
      </c>
      <c r="D485">
        <v>1</v>
      </c>
      <c r="E485">
        <v>135268.13</v>
      </c>
      <c r="F485">
        <v>135268.13</v>
      </c>
      <c r="G485">
        <v>0.0031379857143975587</v>
      </c>
      <c r="H485" t="str">
        <v/>
      </c>
      <c r="I485" t="str">
        <v>Assy</v>
      </c>
      <c r="J485">
        <v>0</v>
      </c>
      <c r="K485">
        <v>0</v>
      </c>
      <c r="L485">
        <v>0</v>
      </c>
      <c r="M485">
        <v>0</v>
      </c>
      <c r="N485">
        <v>0</v>
      </c>
      <c r="O485" t="str">
        <v>Ongoing</v>
      </c>
    </row>
    <row r="486">
      <c r="A486" t="str">
        <v/>
      </c>
      <c r="B486" t="str">
        <v>Main CB: 125AT, 3P, 230V, 60Hz, Bolt-on Nema12</v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>
        <f>K486+L486</f>
        <v>0</v>
      </c>
      <c r="N486">
        <f>M486/43106674.89</f>
        <v>0</v>
      </c>
      <c r="O486" t="str">
        <v/>
      </c>
    </row>
    <row r="487">
      <c r="A487" t="str">
        <v/>
      </c>
      <c r="B487" t="str">
        <v>Branches: 1 - 40AT, 3P</v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</row>
    <row r="488">
      <c r="A488" t="str">
        <v/>
      </c>
      <c r="B488" t="str">
        <v xml:space="preserve">2 - 40AT, 2P 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/>
      </c>
      <c r="B489" t="str">
        <v xml:space="preserve">11 - 30AT, 2P 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/>
      </c>
      <c r="B490" t="str">
        <v>PP-System C</v>
      </c>
      <c r="C490" t="str">
        <v>Assy</v>
      </c>
      <c r="D490">
        <v>1</v>
      </c>
      <c r="E490">
        <v>120190.81999999999</v>
      </c>
      <c r="F490">
        <v>120190.81999999999</v>
      </c>
      <c r="G490">
        <v>0.0027882183050932123</v>
      </c>
      <c r="H490" t="str">
        <v/>
      </c>
      <c r="I490" t="str">
        <v>Assy</v>
      </c>
      <c r="J490">
        <v>0</v>
      </c>
      <c r="K490">
        <v>0</v>
      </c>
      <c r="L490">
        <v>0</v>
      </c>
      <c r="M490">
        <v>0</v>
      </c>
      <c r="N490">
        <v>0</v>
      </c>
      <c r="O490" t="str">
        <v>Ongoing</v>
      </c>
    </row>
    <row r="491">
      <c r="A491" t="str">
        <v/>
      </c>
      <c r="B491" t="str">
        <v>Main CB: 125AT, 3P, 230V, 60Hz, Bolt-on Nema12</v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>
        <f>K491+L491</f>
        <v>0</v>
      </c>
      <c r="N491">
        <f>M491/43106674.89</f>
        <v>0</v>
      </c>
      <c r="O491" t="str">
        <v/>
      </c>
    </row>
    <row r="492">
      <c r="A492" t="str">
        <v/>
      </c>
      <c r="B492" t="str">
        <v>Branches: 2 - 40AT, 3P</v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</row>
    <row r="493">
      <c r="A493" t="str">
        <v/>
      </c>
      <c r="B493" t="str">
        <v xml:space="preserve">7 - 40AT, 2P 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/>
      </c>
      <c r="B494" t="str">
        <v xml:space="preserve">5 - 30AT, 2P 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/>
      </c>
      <c r="B495" t="str">
        <v>PP-System D</v>
      </c>
      <c r="C495" t="str">
        <v>Assy</v>
      </c>
      <c r="D495">
        <v>1</v>
      </c>
      <c r="E495">
        <v>131472.25</v>
      </c>
      <c r="F495">
        <v>131472.25</v>
      </c>
      <c r="G495">
        <v>0.003049927890181556</v>
      </c>
      <c r="H495" t="str">
        <v/>
      </c>
      <c r="I495" t="str">
        <v>Assy</v>
      </c>
      <c r="J495">
        <v>0</v>
      </c>
      <c r="K495">
        <v>0</v>
      </c>
      <c r="L495">
        <v>0</v>
      </c>
      <c r="M495">
        <v>0</v>
      </c>
      <c r="N495">
        <v>0</v>
      </c>
      <c r="O495" t="str">
        <v>Ongoing</v>
      </c>
    </row>
    <row r="496">
      <c r="A496" t="str">
        <v/>
      </c>
      <c r="B496" t="str">
        <v>Main CB: 125AT, 3P, 230V, 60Hz, Bolt-on Nema12</v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>
        <v>0</v>
      </c>
      <c r="L496" t="str">
        <v/>
      </c>
      <c r="M496" t="str">
        <v/>
      </c>
      <c r="N496" t="str">
        <v/>
      </c>
      <c r="O496" t="str">
        <v/>
      </c>
    </row>
    <row r="497">
      <c r="A497" t="str">
        <v/>
      </c>
      <c r="B497" t="str">
        <v>Branches: 3 - 40AT, 3P</v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>
        <f>K497+L497</f>
        <v>0</v>
      </c>
      <c r="N497">
        <f>M497/43106674.89</f>
        <v>0</v>
      </c>
      <c r="O497" t="str">
        <v/>
      </c>
    </row>
    <row r="498">
      <c r="A498" t="str">
        <v/>
      </c>
      <c r="B498" t="str">
        <v xml:space="preserve">4 - 40AT, 2P 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/>
      </c>
      <c r="B499" t="str">
        <v xml:space="preserve">8 - 30AT, 2P 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/>
      </c>
      <c r="B500" t="str">
        <v>PP-Outdoor</v>
      </c>
      <c r="C500" t="str">
        <v>Assy</v>
      </c>
      <c r="D500">
        <v>1</v>
      </c>
      <c r="E500">
        <v>473575.57</v>
      </c>
      <c r="F500">
        <v>473575.57</v>
      </c>
      <c r="G500">
        <v>0.010986130830282648</v>
      </c>
      <c r="H500" t="str">
        <v/>
      </c>
      <c r="I500" t="str">
        <v>Assy</v>
      </c>
      <c r="J500">
        <v>0</v>
      </c>
      <c r="K500">
        <v>0</v>
      </c>
      <c r="L500">
        <v>0</v>
      </c>
      <c r="M500">
        <v>0</v>
      </c>
      <c r="N500">
        <v>0</v>
      </c>
      <c r="O500" t="str">
        <v>Ongoing</v>
      </c>
    </row>
    <row r="501">
      <c r="A501" t="str">
        <v/>
      </c>
      <c r="B501" t="str">
        <v>Main CB: 700AT, 3P, 230V, 60Hz, Bolt-on Nema12</v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</row>
    <row r="502">
      <c r="A502" t="str">
        <v/>
      </c>
      <c r="B502" t="str">
        <v>Branches: 4 - 150AT, 3P</v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>
        <v>0</v>
      </c>
      <c r="L502" t="str">
        <v/>
      </c>
      <c r="M502" t="str">
        <v/>
      </c>
      <c r="N502" t="str">
        <v/>
      </c>
      <c r="O502" t="str">
        <v/>
      </c>
    </row>
    <row r="503">
      <c r="A503" t="str">
        <v/>
      </c>
      <c r="B503" t="str">
        <v>Transformer</v>
      </c>
      <c r="C503" t="str">
        <v>Assy</v>
      </c>
      <c r="D503">
        <v>1</v>
      </c>
      <c r="E503">
        <v>932598.8200000001</v>
      </c>
      <c r="F503">
        <v>932598.8200000001</v>
      </c>
      <c r="G503">
        <v>0.021634673107582846</v>
      </c>
      <c r="H503" t="str">
        <v/>
      </c>
      <c r="I503" t="str">
        <v>Assy</v>
      </c>
      <c r="J503">
        <v>0</v>
      </c>
      <c r="K503">
        <v>0</v>
      </c>
      <c r="L503">
        <v>0</v>
      </c>
      <c r="M503">
        <f>K503+L503</f>
        <v>0</v>
      </c>
      <c r="N503">
        <f>M503/43106674.89</f>
        <v>0</v>
      </c>
      <c r="O503" t="str">
        <v>Ongoing</v>
      </c>
    </row>
    <row r="504" xml:space="preserve">
      <c r="A504" t="str">
        <v/>
      </c>
      <c r="B504" t="str" xml:space="preserve">
        <v xml:space="preserve">500KVA Step Down Dry Type Transformer, 480V to 230V, 3P_x000d_
Floor mounted, Indoor Type, 60Hz, Nema1 "TRANSPHIL"</v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</row>
    <row r="505">
      <c r="A505" t="str">
        <v/>
      </c>
      <c r="B505" t="str">
        <v>ECB 1250AT Nema 12</v>
      </c>
      <c r="C505" t="str">
        <v>pc</v>
      </c>
      <c r="D505">
        <v>1</v>
      </c>
      <c r="E505">
        <v>302047.59</v>
      </c>
      <c r="F505">
        <v>302047.59</v>
      </c>
      <c r="G505">
        <v>0.007006979563391694</v>
      </c>
      <c r="H505" t="str">
        <v/>
      </c>
      <c r="I505" t="str">
        <v>pc</v>
      </c>
      <c r="J505">
        <v>0</v>
      </c>
      <c r="K505">
        <v>0</v>
      </c>
      <c r="L505">
        <v>0</v>
      </c>
      <c r="M505">
        <v>0</v>
      </c>
      <c r="N505">
        <v>0</v>
      </c>
      <c r="O505" t="str">
        <v>Ongoing</v>
      </c>
    </row>
    <row r="506">
      <c r="A506" t="str">
        <v/>
      </c>
      <c r="B506" t="str">
        <v>Pullbox (350mm x 350mm x 200mm)</v>
      </c>
      <c r="C506" t="str">
        <v>pc</v>
      </c>
      <c r="D506">
        <v>5</v>
      </c>
      <c r="E506">
        <v>5538.24</v>
      </c>
      <c r="F506">
        <v>27691.199999999997</v>
      </c>
      <c r="G506">
        <v>0.0006423877524922217</v>
      </c>
      <c r="H506" t="str">
        <v/>
      </c>
      <c r="I506" t="str">
        <v>pc</v>
      </c>
      <c r="J506">
        <v>0</v>
      </c>
      <c r="K506">
        <v>0</v>
      </c>
      <c r="L506">
        <v>0</v>
      </c>
      <c r="M506">
        <v>0</v>
      </c>
      <c r="N506">
        <v>0</v>
      </c>
      <c r="O506" t="str">
        <v>Ongoing</v>
      </c>
    </row>
    <row r="507">
      <c r="A507" t="str">
        <v/>
      </c>
      <c r="B507" t="str">
        <v>Wire Gutter</v>
      </c>
      <c r="C507" t="str">
        <v>lot</v>
      </c>
      <c r="D507">
        <v>1</v>
      </c>
      <c r="E507">
        <v>32074.68</v>
      </c>
      <c r="F507">
        <v>32074.68</v>
      </c>
      <c r="G507">
        <v>0.0007440768763039237</v>
      </c>
      <c r="H507" t="str">
        <v/>
      </c>
      <c r="I507" t="str">
        <v>lot</v>
      </c>
      <c r="J507">
        <v>0</v>
      </c>
      <c r="K507">
        <v>0</v>
      </c>
      <c r="L507">
        <v>0</v>
      </c>
      <c r="M507">
        <v>0</v>
      </c>
      <c r="N507">
        <v>0</v>
      </c>
      <c r="O507" t="str">
        <v>Ongoing</v>
      </c>
    </row>
    <row r="508">
      <c r="A508" t="str">
        <v>IV.</v>
      </c>
      <c r="B508" t="str">
        <v>Mechanical System Power Supply</v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>
        <v>0</v>
      </c>
      <c r="L508" t="str">
        <v/>
      </c>
      <c r="M508" t="str">
        <v/>
      </c>
      <c r="N508" t="str">
        <v/>
      </c>
      <c r="O508" t="str">
        <v/>
      </c>
    </row>
    <row r="509">
      <c r="A509" t="str">
        <v/>
      </c>
      <c r="B509" t="str">
        <v>ECB's</v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>
        <f>K509+L509</f>
        <v>0</v>
      </c>
      <c r="N509">
        <f>M509/43106674.89</f>
        <v>0</v>
      </c>
      <c r="O509" t="str">
        <v/>
      </c>
    </row>
    <row r="510">
      <c r="A510" t="str">
        <v/>
      </c>
      <c r="B510" t="str">
        <v>ECB 150AT, 3P, 230V, Nema3R</v>
      </c>
      <c r="C510" t="str">
        <v>pc</v>
      </c>
      <c r="D510">
        <v>4</v>
      </c>
      <c r="E510">
        <v>29019.109999999993</v>
      </c>
      <c r="F510">
        <v>116076.43999999997</v>
      </c>
      <c r="G510">
        <v>0.002692771833972461</v>
      </c>
      <c r="H510" t="str">
        <v/>
      </c>
      <c r="I510" t="str">
        <v>pc</v>
      </c>
      <c r="J510">
        <v>0</v>
      </c>
      <c r="K510">
        <v>0</v>
      </c>
      <c r="L510">
        <v>0</v>
      </c>
      <c r="M510">
        <v>0</v>
      </c>
      <c r="N510">
        <v>0</v>
      </c>
      <c r="O510" t="str">
        <v>Ongoing</v>
      </c>
    </row>
    <row r="511">
      <c r="A511" t="str">
        <v/>
      </c>
      <c r="B511" t="str">
        <v>ECB 40AT, 3P, 230V, Nema3R</v>
      </c>
      <c r="C511" t="str">
        <v>pc</v>
      </c>
      <c r="D511">
        <v>7</v>
      </c>
      <c r="E511">
        <v>11083.84</v>
      </c>
      <c r="F511">
        <v>77586.88</v>
      </c>
      <c r="G511">
        <v>0.0017998808815105059</v>
      </c>
      <c r="H511" t="str">
        <v/>
      </c>
      <c r="I511" t="str">
        <v>pc</v>
      </c>
      <c r="J511">
        <v>0</v>
      </c>
      <c r="K511">
        <v>0</v>
      </c>
      <c r="L511">
        <v>0</v>
      </c>
      <c r="M511">
        <v>0</v>
      </c>
      <c r="N511">
        <v>0</v>
      </c>
      <c r="O511" t="str">
        <v>Ongoing</v>
      </c>
    </row>
    <row r="512">
      <c r="A512" t="str">
        <v/>
      </c>
      <c r="B512" t="str">
        <v>ECB 40AT, 2P, 230V, Nema3R</v>
      </c>
      <c r="C512" t="str">
        <v>pc</v>
      </c>
      <c r="D512">
        <v>16</v>
      </c>
      <c r="E512">
        <v>9429.220000000001</v>
      </c>
      <c r="F512">
        <v>150867.52000000002</v>
      </c>
      <c r="G512">
        <v>0.003499864473077199</v>
      </c>
      <c r="H512" t="str">
        <v/>
      </c>
      <c r="I512" t="str">
        <v>pc</v>
      </c>
      <c r="J512">
        <v>0</v>
      </c>
      <c r="K512">
        <v>0</v>
      </c>
      <c r="L512">
        <v>0</v>
      </c>
      <c r="M512">
        <v>0</v>
      </c>
      <c r="N512">
        <v>0</v>
      </c>
      <c r="O512" t="str">
        <v>Ongoing</v>
      </c>
    </row>
    <row r="513">
      <c r="A513" t="str">
        <v/>
      </c>
      <c r="B513" t="str">
        <v>ECB 30AT, 2P, 230V, Nema3R</v>
      </c>
      <c r="C513" t="str">
        <v>pc</v>
      </c>
      <c r="D513">
        <v>23</v>
      </c>
      <c r="E513">
        <v>9429.22</v>
      </c>
      <c r="F513">
        <v>216872.06</v>
      </c>
      <c r="G513">
        <v>0.005031055180048472</v>
      </c>
      <c r="H513" t="str">
        <v/>
      </c>
      <c r="I513" t="str">
        <v>pc</v>
      </c>
      <c r="J513">
        <v>0</v>
      </c>
      <c r="K513">
        <v>0</v>
      </c>
      <c r="L513">
        <v>0</v>
      </c>
      <c r="M513">
        <v>0</v>
      </c>
      <c r="N513">
        <v>0</v>
      </c>
      <c r="O513" t="str">
        <v>Ongoing</v>
      </c>
    </row>
    <row r="514">
      <c r="A514" t="str">
        <v/>
      </c>
      <c r="B514" t="str">
        <v>Roughing-ins</v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>
        <v>0</v>
      </c>
      <c r="L514" t="str">
        <v/>
      </c>
      <c r="M514" t="str">
        <v/>
      </c>
      <c r="N514" t="str">
        <v/>
      </c>
      <c r="O514" t="str">
        <v/>
      </c>
    </row>
    <row r="515">
      <c r="A515" t="str">
        <v/>
      </c>
      <c r="B515" t="str">
        <v>40mm dia. IMC</v>
      </c>
      <c r="C515" t="str">
        <v>length/s</v>
      </c>
      <c r="D515">
        <v>49</v>
      </c>
      <c r="E515">
        <v>2672.9</v>
      </c>
      <c r="F515">
        <v>130972.1</v>
      </c>
      <c r="G515">
        <v>0.00303832527872344</v>
      </c>
      <c r="H515" t="str">
        <v/>
      </c>
      <c r="I515" t="str">
        <v>length/s</v>
      </c>
      <c r="J515">
        <v>0</v>
      </c>
      <c r="K515">
        <v>0</v>
      </c>
      <c r="L515">
        <v>0</v>
      </c>
      <c r="M515">
        <f>K515+L515</f>
        <v>0</v>
      </c>
      <c r="N515">
        <f>M515/43106674.89</f>
        <v>0</v>
      </c>
      <c r="O515" t="str">
        <v>Ongoing</v>
      </c>
    </row>
    <row r="516">
      <c r="A516" t="str">
        <v/>
      </c>
      <c r="B516" t="str">
        <v>25mm dia. IMC</v>
      </c>
      <c r="C516" t="str">
        <v>length/s</v>
      </c>
      <c r="D516">
        <v>1003</v>
      </c>
      <c r="E516">
        <v>1753.43</v>
      </c>
      <c r="F516">
        <v>1758690.29</v>
      </c>
      <c r="G516">
        <v>0.040798560651867516</v>
      </c>
      <c r="H516" t="str">
        <v/>
      </c>
      <c r="I516" t="str">
        <v>length/s</v>
      </c>
      <c r="J516">
        <v>0</v>
      </c>
      <c r="K516">
        <v>0</v>
      </c>
      <c r="L516">
        <v>0</v>
      </c>
      <c r="M516">
        <v>0</v>
      </c>
      <c r="N516">
        <v>0</v>
      </c>
      <c r="O516" t="str">
        <v>Ongoing</v>
      </c>
    </row>
    <row r="517">
      <c r="A517" t="str">
        <v/>
      </c>
      <c r="B517" t="str">
        <v>Boxes</v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</row>
    <row r="518">
      <c r="A518" t="str">
        <v/>
      </c>
      <c r="B518" t="str">
        <v>Junction boxes with cover</v>
      </c>
      <c r="C518" t="str">
        <v>pc/s</v>
      </c>
      <c r="D518">
        <v>195</v>
      </c>
      <c r="E518">
        <v>125.85</v>
      </c>
      <c r="F518">
        <v>24540.75</v>
      </c>
      <c r="G518">
        <v>0.0005693027834464916</v>
      </c>
      <c r="H518" t="str">
        <v/>
      </c>
      <c r="I518" t="str">
        <v>pc/s</v>
      </c>
      <c r="J518">
        <v>0</v>
      </c>
      <c r="K518">
        <v>0</v>
      </c>
      <c r="L518">
        <v>0</v>
      </c>
      <c r="M518">
        <v>0</v>
      </c>
      <c r="N518">
        <v>0</v>
      </c>
      <c r="O518" t="str">
        <v>Ongoing</v>
      </c>
    </row>
    <row r="519">
      <c r="A519" t="str">
        <v/>
      </c>
      <c r="B519" t="str">
        <v>Wires</v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>
        <f>K519+L519</f>
        <v>0</v>
      </c>
      <c r="N519">
        <f>M519/43106674.89</f>
        <v>0</v>
      </c>
      <c r="O519" t="str">
        <v/>
      </c>
    </row>
    <row r="520">
      <c r="A520" t="str">
        <v/>
      </c>
      <c r="B520" t="str">
        <v>50mm² THHN</v>
      </c>
      <c r="C520" t="str">
        <v>Lm/s</v>
      </c>
      <c r="D520">
        <v>429</v>
      </c>
      <c r="E520">
        <v>1395.9000000000003</v>
      </c>
      <c r="F520">
        <v>598841.1000000001</v>
      </c>
      <c r="G520">
        <v>0.01389207359482326</v>
      </c>
      <c r="H520" t="str">
        <v/>
      </c>
      <c r="I520" t="str">
        <v>Lm/s</v>
      </c>
      <c r="J520">
        <v>0</v>
      </c>
      <c r="K520">
        <v>0</v>
      </c>
      <c r="L520">
        <v>0</v>
      </c>
      <c r="M520">
        <v>0</v>
      </c>
      <c r="N520">
        <v>0</v>
      </c>
      <c r="O520" t="str">
        <v>Ongoing</v>
      </c>
    </row>
    <row r="521">
      <c r="A521" t="str">
        <v/>
      </c>
      <c r="B521" t="str">
        <v>5.5mm² THHN</v>
      </c>
      <c r="C521" t="str">
        <v>Lm/s</v>
      </c>
      <c r="D521">
        <v>6798</v>
      </c>
      <c r="E521">
        <v>144.13</v>
      </c>
      <c r="F521">
        <v>979795.74</v>
      </c>
      <c r="G521">
        <v>0.022729559691167345</v>
      </c>
      <c r="H521" t="str">
        <v/>
      </c>
      <c r="I521" t="str">
        <v>Lm/s</v>
      </c>
      <c r="J521">
        <v>0</v>
      </c>
      <c r="K521">
        <v>0</v>
      </c>
      <c r="L521">
        <v>0</v>
      </c>
      <c r="M521">
        <v>0</v>
      </c>
      <c r="N521">
        <v>0</v>
      </c>
      <c r="O521" t="str">
        <v>Ongoing</v>
      </c>
    </row>
    <row r="522">
      <c r="A522" t="str">
        <v/>
      </c>
      <c r="B522" t="str">
        <v>for ground:</v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>
        <f>K522+L522</f>
        <v>0</v>
      </c>
      <c r="N522">
        <f>M522/43106674.89</f>
        <v>0</v>
      </c>
      <c r="O522" t="str">
        <v/>
      </c>
    </row>
    <row r="523">
      <c r="A523" t="str">
        <v/>
      </c>
      <c r="B523" t="str">
        <v>14mm² THHN</v>
      </c>
      <c r="C523" t="str">
        <v>Lm/s</v>
      </c>
      <c r="D523">
        <v>143</v>
      </c>
      <c r="E523">
        <v>358.86999999999995</v>
      </c>
      <c r="F523">
        <v>51318.40999999999</v>
      </c>
      <c r="G523">
        <v>0.0011904979943582925</v>
      </c>
      <c r="H523" t="str">
        <v/>
      </c>
      <c r="I523" t="str">
        <v>Lm/s</v>
      </c>
      <c r="J523">
        <v>0</v>
      </c>
      <c r="K523">
        <v>0</v>
      </c>
      <c r="L523">
        <v>0</v>
      </c>
      <c r="M523">
        <v>0</v>
      </c>
      <c r="N523">
        <v>0</v>
      </c>
      <c r="O523" t="str">
        <v>Ongoing</v>
      </c>
    </row>
    <row r="524">
      <c r="A524" t="str">
        <v/>
      </c>
      <c r="B524" t="str">
        <v>5.5mm² THHN</v>
      </c>
      <c r="C524" t="str">
        <v>Lm/s</v>
      </c>
      <c r="D524">
        <v>3185</v>
      </c>
      <c r="E524">
        <v>144.13000000000002</v>
      </c>
      <c r="F524">
        <v>459054.0500000001</v>
      </c>
      <c r="G524">
        <v>0.010649256783814065</v>
      </c>
      <c r="H524">
        <v>100</v>
      </c>
      <c r="I524" t="str">
        <v>Lm/s</v>
      </c>
      <c r="J524">
        <v>14413.000000000002</v>
      </c>
      <c r="K524">
        <v>0</v>
      </c>
      <c r="L524">
        <v>14413.000000000002</v>
      </c>
      <c r="M524">
        <f>K524+L524</f>
        <v>0</v>
      </c>
      <c r="N524">
        <f>M524/43106674.89</f>
        <v>0</v>
      </c>
      <c r="O524" t="str">
        <v>Ongoing</v>
      </c>
    </row>
    <row r="525">
      <c r="A525" t="str">
        <v>V.</v>
      </c>
      <c r="B525" t="str">
        <v>Chipping &amp; Restoration Works (Rough only)</v>
      </c>
      <c r="C525" t="str">
        <v>lot</v>
      </c>
      <c r="D525">
        <v>1</v>
      </c>
      <c r="E525">
        <v>145441.09</v>
      </c>
      <c r="F525">
        <v>145441.09</v>
      </c>
      <c r="G525">
        <v>0.0033739807204136675</v>
      </c>
      <c r="H525">
        <v>1</v>
      </c>
      <c r="I525" t="str">
        <v>lot</v>
      </c>
      <c r="J525">
        <v>0</v>
      </c>
      <c r="K525">
        <v>0</v>
      </c>
      <c r="L525">
        <f>J525-K525</f>
        <v>14413.000000000002</v>
      </c>
      <c r="M525">
        <f>K525+L525</f>
        <v>0</v>
      </c>
      <c r="N525">
        <f>M525/43106674.89</f>
        <v>0</v>
      </c>
      <c r="O525" t="str">
        <v>Ongoing</v>
      </c>
    </row>
    <row r="526">
      <c r="A526" t="str">
        <v>VI.</v>
      </c>
      <c r="B526" t="str">
        <v>Hangers &amp; Supports</v>
      </c>
      <c r="C526" t="str">
        <v>lot</v>
      </c>
      <c r="D526">
        <v>1</v>
      </c>
      <c r="E526">
        <v>174529.31</v>
      </c>
      <c r="F526">
        <v>174529.31</v>
      </c>
      <c r="G526">
        <v>0.0040487769108929275</v>
      </c>
      <c r="H526">
        <v>1</v>
      </c>
      <c r="I526" t="str">
        <v>lot</v>
      </c>
      <c r="J526">
        <v>0</v>
      </c>
      <c r="K526">
        <v>0</v>
      </c>
      <c r="L526">
        <v>0</v>
      </c>
      <c r="M526">
        <v>0</v>
      </c>
      <c r="N526">
        <v>0</v>
      </c>
      <c r="O526" t="str">
        <v>Ongoing</v>
      </c>
    </row>
    <row r="527">
      <c r="A527" t="str">
        <v>VII.</v>
      </c>
      <c r="B527" t="str">
        <v>Miscelleneuos</v>
      </c>
      <c r="C527" t="str">
        <v>lot</v>
      </c>
      <c r="D527">
        <v>1</v>
      </c>
      <c r="E527">
        <v>87264.66</v>
      </c>
      <c r="F527">
        <v>87264.66</v>
      </c>
      <c r="G527">
        <v>0.002024388571437781</v>
      </c>
      <c r="H527">
        <v>1</v>
      </c>
      <c r="I527" t="str">
        <v>lot</v>
      </c>
      <c r="J527">
        <v>0</v>
      </c>
      <c r="K527">
        <v>0</v>
      </c>
      <c r="L527">
        <v>0</v>
      </c>
      <c r="M527">
        <v>0</v>
      </c>
      <c r="N527">
        <v>0</v>
      </c>
      <c r="O527" t="str">
        <v>Ongoing</v>
      </c>
    </row>
    <row r="528">
      <c r="A528" t="str">
        <v>VIII.</v>
      </c>
      <c r="B528" t="str">
        <v>Testing &amp; Commissioning</v>
      </c>
      <c r="C528" t="str">
        <v>lot</v>
      </c>
      <c r="D528">
        <v>1</v>
      </c>
      <c r="E528">
        <v>884818.61</v>
      </c>
      <c r="F528">
        <v>884818.61</v>
      </c>
      <c r="G528">
        <v>0.020526255208918057</v>
      </c>
      <c r="H528">
        <v>1</v>
      </c>
      <c r="I528" t="str">
        <v>lot</v>
      </c>
      <c r="J528">
        <v>0</v>
      </c>
      <c r="K528">
        <v>0</v>
      </c>
      <c r="L528">
        <v>0</v>
      </c>
      <c r="M528">
        <v>0</v>
      </c>
      <c r="N528">
        <v>0</v>
      </c>
      <c r="O528" t="str">
        <v>Ongoing</v>
      </c>
    </row>
    <row r="529">
      <c r="A529" t="str">
        <v/>
      </c>
      <c r="B529" t="str">
        <v>TOTAL PROJECT COST</v>
      </c>
      <c r="C529" t="str">
        <v/>
      </c>
      <c r="D529" t="str">
        <v/>
      </c>
      <c r="E529" t="str">
        <v/>
      </c>
      <c r="F529">
        <v>43106674.890000015</v>
      </c>
      <c r="G529">
        <v>1</v>
      </c>
      <c r="H529" t="str">
        <v/>
      </c>
      <c r="I529" t="str">
        <v/>
      </c>
      <c r="J529">
        <v>0</v>
      </c>
      <c r="K529">
        <v>0</v>
      </c>
      <c r="L529">
        <v>0</v>
      </c>
      <c r="M529">
        <f>K529+L529</f>
        <v>0</v>
      </c>
      <c r="N529">
        <f>M529/43106674.89</f>
        <v>0</v>
      </c>
      <c r="O529" t="str">
        <v>Ongoing</v>
      </c>
    </row>
    <row r="530">
      <c r="A530" t="str">
        <v/>
      </c>
      <c r="B530" t="str">
        <v>ECB 40AT, 2P, 230V, Nema3R</v>
      </c>
      <c r="C530" t="str">
        <v>pc</v>
      </c>
      <c r="D530">
        <v>16</v>
      </c>
      <c r="E530">
        <v>9429.220000000001</v>
      </c>
      <c r="F530">
        <v>150867.52000000002</v>
      </c>
      <c r="G530">
        <v>0.003499864473077199</v>
      </c>
      <c r="H530" t="str">
        <v/>
      </c>
      <c r="I530" t="str">
        <v>pc</v>
      </c>
      <c r="J530">
        <v>0</v>
      </c>
      <c r="K530">
        <v>0</v>
      </c>
      <c r="L530">
        <v>0</v>
      </c>
      <c r="M530">
        <f>K530+L530</f>
        <v>0</v>
      </c>
      <c r="N530">
        <f>M530/43106674.89</f>
        <v>0</v>
      </c>
      <c r="O530" t="str">
        <v>Ongoing</v>
      </c>
    </row>
    <row r="531">
      <c r="A531" t="str">
        <v/>
      </c>
      <c r="B531" t="str">
        <v>ECB 30AT, 2P, 230V, Nema3R</v>
      </c>
      <c r="C531" t="str">
        <v>pc</v>
      </c>
      <c r="D531">
        <v>23</v>
      </c>
      <c r="E531">
        <v>9429.22</v>
      </c>
      <c r="F531">
        <v>216872.06</v>
      </c>
      <c r="G531">
        <v>0.005031055180048472</v>
      </c>
      <c r="H531" t="str">
        <v/>
      </c>
      <c r="I531" t="str">
        <v>pc</v>
      </c>
      <c r="J531">
        <v>0</v>
      </c>
      <c r="K531">
        <v>0</v>
      </c>
      <c r="L531">
        <v>0</v>
      </c>
      <c r="M531">
        <f>K531+L531</f>
        <v>0</v>
      </c>
      <c r="N531">
        <f>M531/43106674.89</f>
        <v>0</v>
      </c>
      <c r="O531" t="str">
        <v>Ongoing</v>
      </c>
    </row>
    <row r="532">
      <c r="A532" t="str">
        <v/>
      </c>
      <c r="B532" t="str">
        <v>Roughing-ins</v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>
        <f>K532+L532</f>
        <v>0</v>
      </c>
      <c r="N532">
        <f>M532/43106674.89</f>
        <v>0</v>
      </c>
      <c r="O532" t="str">
        <v/>
      </c>
    </row>
    <row r="533">
      <c r="A533" t="str">
        <v/>
      </c>
      <c r="B533" t="str">
        <v>40mm dia. IMC</v>
      </c>
      <c r="C533" t="str">
        <v>length/s</v>
      </c>
      <c r="D533">
        <v>49</v>
      </c>
      <c r="E533">
        <v>2672.9</v>
      </c>
      <c r="F533">
        <v>130972.1</v>
      </c>
      <c r="G533">
        <v>0.00303832527872344</v>
      </c>
      <c r="H533" t="str">
        <v/>
      </c>
      <c r="I533" t="str">
        <v>length/s</v>
      </c>
      <c r="J533">
        <v>0</v>
      </c>
      <c r="K533">
        <v>0</v>
      </c>
      <c r="L533">
        <v>0</v>
      </c>
      <c r="M533">
        <v>0</v>
      </c>
      <c r="N533">
        <v>0</v>
      </c>
      <c r="O533" t="str">
        <v>Ongoing</v>
      </c>
    </row>
    <row r="534">
      <c r="A534" t="str">
        <v/>
      </c>
      <c r="B534" t="str">
        <v>25mm dia. IMC</v>
      </c>
      <c r="C534" t="str">
        <v>length/s</v>
      </c>
      <c r="D534">
        <v>1003</v>
      </c>
      <c r="E534">
        <v>1753.43</v>
      </c>
      <c r="F534">
        <v>1758690.29</v>
      </c>
      <c r="G534">
        <v>0.040798560651867516</v>
      </c>
      <c r="H534" t="str">
        <v/>
      </c>
      <c r="I534" t="str">
        <v>length/s</v>
      </c>
      <c r="J534">
        <v>0</v>
      </c>
      <c r="K534">
        <v>0</v>
      </c>
      <c r="L534">
        <v>0</v>
      </c>
      <c r="M534">
        <f>K534+L534</f>
        <v>0</v>
      </c>
      <c r="N534">
        <f>M534/43106674.89</f>
        <v>0</v>
      </c>
      <c r="O534" t="str">
        <v>Ongoing</v>
      </c>
    </row>
    <row r="535">
      <c r="A535" t="str">
        <v/>
      </c>
      <c r="B535" t="str">
        <v>Boxes</v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>
        <f>K535+L535</f>
        <v>0</v>
      </c>
      <c r="N535">
        <f>M535/43106674.89</f>
        <v>0</v>
      </c>
      <c r="O535" t="str">
        <v/>
      </c>
    </row>
    <row r="536">
      <c r="A536" t="str">
        <v/>
      </c>
      <c r="B536" t="str">
        <v>Junction boxes with cover</v>
      </c>
      <c r="C536" t="str">
        <v>pc/s</v>
      </c>
      <c r="D536">
        <v>195</v>
      </c>
      <c r="E536">
        <v>125.85</v>
      </c>
      <c r="F536">
        <v>24540.75</v>
      </c>
      <c r="G536">
        <v>0.0005693027834464916</v>
      </c>
      <c r="H536" t="str">
        <v/>
      </c>
      <c r="I536" t="str">
        <v>pc/s</v>
      </c>
      <c r="J536">
        <v>0</v>
      </c>
      <c r="K536">
        <v>0</v>
      </c>
      <c r="L536">
        <v>0</v>
      </c>
      <c r="M536">
        <v>0</v>
      </c>
      <c r="N536">
        <v>0</v>
      </c>
      <c r="O536" t="str">
        <v>Ongoing</v>
      </c>
    </row>
    <row r="537">
      <c r="A537" t="str">
        <v/>
      </c>
      <c r="B537" t="str">
        <v>Wires</v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>
        <f>K537+L537</f>
        <v>0</v>
      </c>
      <c r="N537">
        <f>M537/43106674.89</f>
        <v>0</v>
      </c>
      <c r="O537" t="str">
        <v/>
      </c>
    </row>
    <row r="538">
      <c r="A538" t="str">
        <v/>
      </c>
      <c r="B538" t="str">
        <v>50mm² THHN</v>
      </c>
      <c r="C538" t="str">
        <v>Lm/s</v>
      </c>
      <c r="D538">
        <v>429</v>
      </c>
      <c r="E538">
        <v>1395.9000000000003</v>
      </c>
      <c r="F538">
        <v>598841.1000000001</v>
      </c>
      <c r="G538">
        <v>0.01389207359482326</v>
      </c>
      <c r="H538" t="str">
        <v/>
      </c>
      <c r="I538" t="str">
        <v>Lm/s</v>
      </c>
      <c r="J538">
        <v>0</v>
      </c>
      <c r="K538">
        <v>0</v>
      </c>
      <c r="L538">
        <v>0</v>
      </c>
      <c r="M538">
        <v>0</v>
      </c>
      <c r="N538">
        <v>0</v>
      </c>
      <c r="O538" t="str">
        <v>Ongoing</v>
      </c>
    </row>
    <row r="539">
      <c r="A539" t="str">
        <v/>
      </c>
      <c r="B539" t="str">
        <v>5.5mm² THHN</v>
      </c>
      <c r="C539" t="str">
        <v>Lm/s</v>
      </c>
      <c r="D539">
        <v>6798</v>
      </c>
      <c r="E539">
        <v>144.13</v>
      </c>
      <c r="F539">
        <v>979795.74</v>
      </c>
      <c r="G539">
        <v>0.022729559691167345</v>
      </c>
      <c r="H539" t="str">
        <v/>
      </c>
      <c r="I539" t="str">
        <v>Lm/s</v>
      </c>
      <c r="J539">
        <v>0</v>
      </c>
      <c r="K539">
        <v>0</v>
      </c>
      <c r="L539">
        <v>0</v>
      </c>
      <c r="M539">
        <f>K539+L539</f>
        <v>0</v>
      </c>
      <c r="N539">
        <f>M539/43106674.89</f>
        <v>0</v>
      </c>
      <c r="O539" t="str">
        <v>Ongoing</v>
      </c>
    </row>
    <row r="540">
      <c r="A540" t="str">
        <v/>
      </c>
      <c r="B540" t="str">
        <v>for ground:</v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>
        <f>K540+L540</f>
        <v>0</v>
      </c>
      <c r="N540">
        <f>M540/43106674.89</f>
        <v>0</v>
      </c>
      <c r="O540" t="str">
        <v/>
      </c>
    </row>
    <row r="541">
      <c r="A541" t="str">
        <v/>
      </c>
      <c r="B541" t="str">
        <v>14mm² THHN</v>
      </c>
      <c r="C541" t="str">
        <v>Lm/s</v>
      </c>
      <c r="D541">
        <v>143</v>
      </c>
      <c r="E541">
        <v>358.86999999999995</v>
      </c>
      <c r="F541">
        <v>51318.40999999999</v>
      </c>
      <c r="G541">
        <v>0.0011904979943582925</v>
      </c>
      <c r="H541" t="str">
        <v/>
      </c>
      <c r="I541" t="str">
        <v>Lm/s</v>
      </c>
      <c r="J541">
        <v>0</v>
      </c>
      <c r="K541">
        <v>0</v>
      </c>
      <c r="L541">
        <v>0</v>
      </c>
      <c r="M541">
        <v>0</v>
      </c>
      <c r="N541">
        <v>0</v>
      </c>
      <c r="O541" t="str">
        <v>Ongoing</v>
      </c>
    </row>
    <row r="542">
      <c r="A542" t="str">
        <v/>
      </c>
      <c r="B542" t="str">
        <v>5.5mm² THHN</v>
      </c>
      <c r="C542" t="str">
        <v>Lm/s</v>
      </c>
      <c r="D542">
        <v>3185</v>
      </c>
      <c r="E542">
        <v>144.13000000000002</v>
      </c>
      <c r="F542">
        <v>459054.0500000001</v>
      </c>
      <c r="G542">
        <v>0.010649256783814065</v>
      </c>
      <c r="H542">
        <v>1000</v>
      </c>
      <c r="I542" t="str">
        <v>Lm/s</v>
      </c>
      <c r="J542">
        <v>144130.00000000003</v>
      </c>
      <c r="K542">
        <v>0</v>
      </c>
      <c r="L542">
        <v>144130.00000000003</v>
      </c>
      <c r="M542">
        <f>K542+L542</f>
        <v>0</v>
      </c>
      <c r="N542">
        <f>M542/43106674.89</f>
        <v>0</v>
      </c>
      <c r="O542" t="str">
        <v>Ongoing</v>
      </c>
    </row>
    <row r="543">
      <c r="A543" t="str">
        <v>V.</v>
      </c>
      <c r="B543" t="str">
        <v>Chipping &amp; Restoration Works (Rough only)</v>
      </c>
      <c r="C543" t="str">
        <v>lot</v>
      </c>
      <c r="D543">
        <v>1</v>
      </c>
      <c r="E543">
        <v>145441.09</v>
      </c>
      <c r="F543">
        <v>145441.09</v>
      </c>
      <c r="G543">
        <v>0.0033739807204136675</v>
      </c>
      <c r="H543">
        <v>1</v>
      </c>
      <c r="I543" t="str">
        <v>lot</v>
      </c>
      <c r="J543">
        <v>0</v>
      </c>
      <c r="K543">
        <v>0</v>
      </c>
      <c r="L543">
        <v>0</v>
      </c>
      <c r="M543">
        <f>K543+L543</f>
        <v>0</v>
      </c>
      <c r="N543">
        <f>M543/43106674.89</f>
        <v>0</v>
      </c>
      <c r="O543" t="str">
        <v>Ongoing</v>
      </c>
    </row>
    <row r="544">
      <c r="A544" t="str">
        <v>VI.</v>
      </c>
      <c r="B544" t="str">
        <v>Hangers &amp; Supports</v>
      </c>
      <c r="C544" t="str">
        <v>lot</v>
      </c>
      <c r="D544">
        <v>1</v>
      </c>
      <c r="E544">
        <v>174529.31</v>
      </c>
      <c r="F544">
        <v>174529.31</v>
      </c>
      <c r="G544">
        <v>0.0040487769108929275</v>
      </c>
      <c r="H544">
        <v>1</v>
      </c>
      <c r="I544" t="str">
        <v>lot</v>
      </c>
      <c r="J544">
        <v>0</v>
      </c>
      <c r="K544">
        <v>0</v>
      </c>
      <c r="L544">
        <v>0</v>
      </c>
      <c r="M544">
        <v>0</v>
      </c>
      <c r="N544">
        <v>0</v>
      </c>
      <c r="O544" t="str">
        <v>Ongoing</v>
      </c>
    </row>
    <row r="545">
      <c r="A545" t="str">
        <v>VII.</v>
      </c>
      <c r="B545" t="str">
        <v>Miscelleneuos</v>
      </c>
      <c r="C545" t="str">
        <v>lot</v>
      </c>
      <c r="D545">
        <v>1</v>
      </c>
      <c r="E545">
        <v>87264.66</v>
      </c>
      <c r="F545">
        <v>87264.66</v>
      </c>
      <c r="G545">
        <v>0.002024388571437781</v>
      </c>
      <c r="H545">
        <v>1</v>
      </c>
      <c r="I545" t="str">
        <v>lot</v>
      </c>
      <c r="J545">
        <v>0</v>
      </c>
      <c r="K545">
        <v>0</v>
      </c>
      <c r="L545">
        <v>0</v>
      </c>
      <c r="M545">
        <f>K545+L545</f>
        <v>0</v>
      </c>
      <c r="N545">
        <f>M545/43106674.89</f>
        <v>0</v>
      </c>
      <c r="O545" t="str">
        <v>Ongoing</v>
      </c>
    </row>
    <row r="546">
      <c r="A546" t="str">
        <v>VIII.</v>
      </c>
      <c r="B546" t="str">
        <v>Testing &amp; Commissioning</v>
      </c>
      <c r="C546" t="str">
        <v>lot</v>
      </c>
      <c r="D546">
        <v>1</v>
      </c>
      <c r="E546">
        <v>884818.61</v>
      </c>
      <c r="F546">
        <v>884818.61</v>
      </c>
      <c r="G546">
        <v>0.020526255208918057</v>
      </c>
      <c r="H546">
        <v>1</v>
      </c>
      <c r="I546" t="str">
        <v>lot</v>
      </c>
      <c r="J546">
        <v>0</v>
      </c>
      <c r="K546">
        <v>0</v>
      </c>
      <c r="L546">
        <v>0</v>
      </c>
      <c r="M546">
        <f>K546+L546</f>
        <v>0</v>
      </c>
      <c r="N546">
        <f>M546/43106674.89</f>
        <v>0</v>
      </c>
      <c r="O546" t="str">
        <v>Ongoing</v>
      </c>
    </row>
    <row r="547">
      <c r="A547" t="str">
        <v/>
      </c>
      <c r="B547" t="str">
        <v>TOTAL PROJECT COST</v>
      </c>
      <c r="C547" t="str">
        <v/>
      </c>
      <c r="D547" t="str">
        <v/>
      </c>
      <c r="E547" t="str">
        <v/>
      </c>
      <c r="F547">
        <v>43106674.890000015</v>
      </c>
      <c r="G547">
        <v>1</v>
      </c>
      <c r="H547" t="str">
        <v/>
      </c>
      <c r="I547" t="str">
        <v/>
      </c>
      <c r="J547">
        <v>0</v>
      </c>
      <c r="K547">
        <v>0</v>
      </c>
      <c r="L547">
        <v>0</v>
      </c>
      <c r="M547">
        <f>K547+L547</f>
        <v>0</v>
      </c>
      <c r="N547">
        <f>M547/43106674.89</f>
        <v>0</v>
      </c>
      <c r="O547" t="str">
        <v>Ongoing</v>
      </c>
    </row>
    <row r="548">
      <c r="A548" t="str">
        <v/>
      </c>
      <c r="B548" t="str">
        <v>TOTAL PROJECT COST</v>
      </c>
      <c r="C548" t="str">
        <v/>
      </c>
      <c r="D548" t="str">
        <v/>
      </c>
      <c r="E548" t="str">
        <v/>
      </c>
      <c r="F548">
        <v>43106674.890000015</v>
      </c>
      <c r="G548">
        <v>1</v>
      </c>
      <c r="H548" t="str">
        <v/>
      </c>
      <c r="I548" t="str">
        <v/>
      </c>
      <c r="J548">
        <v>0</v>
      </c>
      <c r="K548">
        <v>0</v>
      </c>
      <c r="L548">
        <v>0</v>
      </c>
      <c r="M548">
        <f>K548+L548</f>
        <v>0</v>
      </c>
      <c r="N548">
        <f>M548/43106674.89</f>
        <v>0</v>
      </c>
      <c r="O548" t="str">
        <v>Ongoing</v>
      </c>
    </row>
    <row r="549">
      <c r="A549" t="str">
        <v/>
      </c>
      <c r="B549" t="str">
        <v>TOTAL PROJECT COST</v>
      </c>
      <c r="C549" t="str">
        <v/>
      </c>
      <c r="D549" t="str">
        <v/>
      </c>
      <c r="E549" t="str">
        <v/>
      </c>
      <c r="F549">
        <v>43106674.890000015</v>
      </c>
      <c r="G549">
        <v>1</v>
      </c>
      <c r="H549" t="str">
        <v/>
      </c>
      <c r="I549" t="str">
        <v/>
      </c>
      <c r="J549">
        <v>0</v>
      </c>
      <c r="K549">
        <v>0</v>
      </c>
      <c r="L549">
        <v>0</v>
      </c>
      <c r="M549">
        <v>0</v>
      </c>
      <c r="N549">
        <v>0</v>
      </c>
      <c r="O549" t="str">
        <v>Ongoing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A8:M8"/>
    <mergeCell ref="C9:G9"/>
    <mergeCell ref="H9:N9"/>
  </mergeCells>
  <pageMargins left="0.7" right="0.7" top="0.75" bottom="0.75" header="0.3" footer="0.3"/>
  <ignoredErrors>
    <ignoredError numberStoredAsText="1" sqref="A1:O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