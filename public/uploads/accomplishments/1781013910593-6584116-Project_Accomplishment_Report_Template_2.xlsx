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<sst xmlns="http://schemas.openxmlformats.org/spreadsheetml/2006/main" count="1673" uniqueCount="259">
  <si>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</si>
  <si>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</si>
  <si>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</si>
  <si>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</si>
  <si>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</si>
  <si>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</si>
  <si>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</si>
  <si>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</si>
  <si>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</si>
  <si>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</si>
  <si>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</si>
  <si>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</si>
  <si>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</si>
  <si>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</si>
  <si>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</si>
  <si>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</si>
  <si>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</si>
  <si>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</si>
  <si>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</si>
  <si>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</si>
  <si>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</si>
  <si>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</si>
  <si>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</si>
  <si>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</si>
  <si>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</si>
  <si>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</si>
  <si>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</si>
  <si>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</si>
  <si>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</si>
  <si>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</si>
  <si>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>Ongoing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</si>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</sst>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</row>
    <row r="3" spans="2:15" x14ac:dyDescent="0.25">
      <c r="B3" t="s">
        <v>15</v>
      </c>
    </row>
    <row r="4" spans="2:15" x14ac:dyDescent="0.25">
      <c r="B4" t="s">
        <v>16</v>
      </c>
    </row>
    <row r="5" spans="2:15" x14ac:dyDescent="0.25">
      <c r="B5" t="s">
        <v>17</v>
      </c>
    </row>
    <row r="6" spans="2:15" x14ac:dyDescent="0.25">
      <c r="B6" t="s">
        <v>18</v>
      </c>
    </row>
    <row r="7" spans="2:15" x14ac:dyDescent="0.25">
      <c r="B7" t="s">
        <v>19</v>
      </c>
    </row>
    <row r="8" spans="1:15" x14ac:dyDescent="0.25">
      <c r="B8"/>
      <c r="C8"/>
      <c r="D8"/>
      <c r="E8"/>
      <c r="F8"/>
      <c r="G8"/>
      <c r="H8"/>
      <c r="I8"/>
      <c r="J8"/>
      <c r="K8"/>
      <c r="L8"/>
      <c r="M8"/>
    </row>
    <row r="9" spans="2:15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5" x14ac:dyDescent="0.25">
      <c r="B10" t="s">
        <v>21</v>
      </c>
    </row>
    <row r="11" spans="2:15" x14ac:dyDescent="0.25">
      <c r="B11" t="s">
        <v>22</v>
      </c>
    </row>
    <row r="12" spans="2:15" x14ac:dyDescent="0.25">
      <c r="B12" t="s">
        <v>23</v>
      </c>
    </row>
    <row r="13" spans="2:15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">
        <v>26</v>
      </c>
      <c r="J14">
        <v>103229</v>
      </c>
      <c r="K14">
        <v>103229</v>
      </c>
      <c r="L14">
        <f>J14-K14</f>
        <v>0</v>
      </c>
      <c r="M14">
        <v>103229</v>
      </c>
      <c r="N14">
        <v>0.002394733536358827</v>
      </c>
      <c r="O14" t="s">
        <v>27</v>
      </c>
    </row>
    <row r="15" spans="2:15" x14ac:dyDescent="0.25">
      <c r="B15" t="s">
        <v>28</v>
      </c>
    </row>
    <row r="16" spans="2:15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">
        <v>26</v>
      </c>
      <c r="J16">
        <v>0</v>
      </c>
      <c r="K16">
        <v>0</v>
      </c>
      <c r="M16">
        <v>0</v>
      </c>
      <c r="N16">
        <v>0</v>
      </c>
      <c r="O16" t="s">
        <v>30</v>
      </c>
    </row>
    <row r="17" spans="2:15" x14ac:dyDescent="0.25">
      <c r="B17" t="s">
        <v>31</v>
      </c>
      <c r="C17" t="s">
        <v>26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">
        <v>26</v>
      </c>
      <c r="J17">
        <v>0</v>
      </c>
      <c r="K17">
        <v>0</v>
      </c>
      <c r="M17">
        <v>0</v>
      </c>
      <c r="N17">
        <v>0</v>
      </c>
      <c r="O17" t="s">
        <v>30</v>
      </c>
    </row>
    <row r="18" spans="2:15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">
        <v>26</v>
      </c>
      <c r="J18">
        <v>0</v>
      </c>
      <c r="K18">
        <v>0</v>
      </c>
      <c r="M18">
        <v>0</v>
      </c>
      <c r="N18">
        <v>0</v>
      </c>
      <c r="O18" t="s">
        <v>30</v>
      </c>
    </row>
    <row r="19" spans="2:15" x14ac:dyDescent="0.25">
      <c r="B19" t="s">
        <v>33</v>
      </c>
      <c r="C19" t="s">
        <v>26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">
        <v>26</v>
      </c>
      <c r="J19">
        <v>0</v>
      </c>
      <c r="K19">
        <v>0</v>
      </c>
      <c r="M19">
        <v>0</v>
      </c>
      <c r="N19">
        <v>0</v>
      </c>
      <c r="O19" t="s">
        <v>30</v>
      </c>
    </row>
    <row r="20" spans="2:15" x14ac:dyDescent="0.25">
      <c r="B20" t="s">
        <v>34</v>
      </c>
    </row>
    <row r="21" spans="2:15" x14ac:dyDescent="0.25">
      <c r="B21" t="s">
        <v>35</v>
      </c>
    </row>
    <row r="22" spans="2:15" x14ac:dyDescent="0.25">
      <c r="B22" t="s">
        <v>36</v>
      </c>
      <c r="C22" t="s">
        <v>26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">
        <v>26</v>
      </c>
      <c r="J22">
        <v>0</v>
      </c>
      <c r="K22">
        <v>0</v>
      </c>
      <c r="M22">
        <v>0</v>
      </c>
      <c r="N22">
        <v>0</v>
      </c>
      <c r="O22" t="s">
        <v>30</v>
      </c>
    </row>
    <row r="23" spans="2:15" x14ac:dyDescent="0.25">
      <c r="B23" t="s">
        <v>37</v>
      </c>
      <c r="C23" t="s">
        <v>26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">
        <v>26</v>
      </c>
      <c r="J23">
        <v>0</v>
      </c>
      <c r="K23">
        <v>0</v>
      </c>
      <c r="M23">
        <v>0</v>
      </c>
      <c r="N23">
        <v>0</v>
      </c>
      <c r="O23" t="s">
        <v>30</v>
      </c>
    </row>
    <row r="24" spans="2:15" x14ac:dyDescent="0.25">
      <c r="B24" t="s">
        <v>38</v>
      </c>
      <c r="C24" t="s">
        <v>26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">
        <v>26</v>
      </c>
      <c r="J24">
        <v>0</v>
      </c>
      <c r="K24">
        <v>0</v>
      </c>
      <c r="M24">
        <v>0</v>
      </c>
      <c r="N24">
        <v>0</v>
      </c>
      <c r="O24" t="s">
        <v>30</v>
      </c>
    </row>
    <row r="25" spans="2:15" x14ac:dyDescent="0.25">
      <c r="B25" t="s">
        <v>39</v>
      </c>
      <c r="C25" t="s">
        <v>26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">
        <v>26</v>
      </c>
      <c r="J25">
        <v>0</v>
      </c>
      <c r="K25">
        <v>0</v>
      </c>
      <c r="M25">
        <v>0</v>
      </c>
      <c r="N25">
        <v>0</v>
      </c>
      <c r="O25" t="s">
        <v>30</v>
      </c>
    </row>
    <row r="26" spans="2:15" x14ac:dyDescent="0.25">
      <c r="B26" t="s">
        <v>40</v>
      </c>
      <c r="K26">
        <v>0</v>
      </c>
      <c r="M26">
        <f>K26+L26</f>
        <v>0</v>
      </c>
      <c r="N26">
        <f>M26/43106674.89</f>
        <v>0</v>
      </c>
    </row>
    <row r="27" spans="2:15" x14ac:dyDescent="0.25">
      <c r="B27" t="s">
        <v>41</v>
      </c>
    </row>
    <row r="28" spans="2:15" x14ac:dyDescent="0.25">
      <c r="B28" t="s">
        <v>42</v>
      </c>
    </row>
    <row r="29" spans="2:15" x14ac:dyDescent="0.25">
      <c r="B29" t="s">
        <v>43</v>
      </c>
      <c r="K29">
        <v>0</v>
      </c>
      <c r="M29">
        <f>K29+L29</f>
        <v>0</v>
      </c>
      <c r="N29">
        <f>M29/43106674.89</f>
        <v>0</v>
      </c>
    </row>
    <row r="30" spans="2:15" x14ac:dyDescent="0.25">
      <c r="B30" t="s">
        <v>44</v>
      </c>
      <c r="C30" t="s">
        <v>26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">
        <v>26</v>
      </c>
      <c r="J30">
        <v>0</v>
      </c>
      <c r="K30">
        <v>0</v>
      </c>
      <c r="M30">
        <f>K30+L30</f>
        <v>0</v>
      </c>
      <c r="N30">
        <f>M30/43106674.89</f>
        <v>0</v>
      </c>
      <c r="O30" t="s">
        <v>30</v>
      </c>
    </row>
    <row r="31" spans="2:15" x14ac:dyDescent="0.25">
      <c r="B31" t="s">
        <v>45</v>
      </c>
      <c r="C31" t="s">
        <v>26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">
        <v>26</v>
      </c>
      <c r="J31">
        <v>0</v>
      </c>
      <c r="K31">
        <v>0</v>
      </c>
      <c r="M31">
        <f>K31+L31</f>
        <v>0</v>
      </c>
      <c r="N31">
        <f>M31/43106674.89</f>
        <v>0</v>
      </c>
      <c r="O31" t="s">
        <v>30</v>
      </c>
    </row>
    <row r="32" spans="2:15" x14ac:dyDescent="0.25">
      <c r="B32" t="s">
        <v>46</v>
      </c>
      <c r="C32" t="s">
        <v>26</v>
      </c>
      <c r="D32">
        <v>1</v>
      </c>
      <c r="K32">
        <v>0</v>
      </c>
      <c r="M32">
        <f>K32+L32</f>
        <v>0</v>
      </c>
      <c r="N32">
        <f>M32/43106674.89</f>
        <v>0</v>
      </c>
    </row>
    <row r="33" spans="2:15" x14ac:dyDescent="0.25">
      <c r="B33" t="s">
        <v>47</v>
      </c>
    </row>
    <row r="34" spans="2:15" x14ac:dyDescent="0.25">
      <c r="B34" t="s">
        <v>48</v>
      </c>
      <c r="C34" t="s">
        <v>26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">
        <v>26</v>
      </c>
      <c r="J34">
        <v>0</v>
      </c>
      <c r="K34">
        <v>0</v>
      </c>
      <c r="M34">
        <v>0</v>
      </c>
      <c r="N34">
        <v>0</v>
      </c>
      <c r="O34" t="s">
        <v>30</v>
      </c>
    </row>
    <row r="35" spans="2:15" x14ac:dyDescent="0.25">
      <c r="B35" t="s">
        <v>49</v>
      </c>
    </row>
    <row r="36" spans="2:15" x14ac:dyDescent="0.25">
      <c r="B36" t="s">
        <v>50</v>
      </c>
      <c r="K36">
        <v>0</v>
      </c>
      <c r="M36">
        <f>K36+L36</f>
        <v>0</v>
      </c>
      <c r="N36">
        <f>M36/43106674.89</f>
        <v>0</v>
      </c>
    </row>
    <row r="37" spans="2:15" x14ac:dyDescent="0.25">
      <c r="B37" t="s">
        <v>51</v>
      </c>
      <c r="C37" t="s">
        <v>26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">
        <v>26</v>
      </c>
      <c r="J37">
        <v>0</v>
      </c>
      <c r="K37">
        <v>0</v>
      </c>
      <c r="M37">
        <f>K37+L37</f>
        <v>0</v>
      </c>
      <c r="N37">
        <f>M37/43106674.89</f>
        <v>0</v>
      </c>
      <c r="O37" t="s">
        <v>30</v>
      </c>
    </row>
    <row r="38" spans="2:15" x14ac:dyDescent="0.25">
      <c r="B38" t="s">
        <v>52</v>
      </c>
      <c r="C38" t="s">
        <v>26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">
        <v>26</v>
      </c>
      <c r="J38">
        <v>0</v>
      </c>
      <c r="K38">
        <v>0</v>
      </c>
      <c r="M38">
        <f>K38+L38</f>
        <v>0</v>
      </c>
      <c r="N38">
        <f>M38/43106674.89</f>
        <v>0</v>
      </c>
      <c r="O38" t="s">
        <v>30</v>
      </c>
    </row>
    <row r="39" spans="2:15" x14ac:dyDescent="0.25">
      <c r="B39" t="s">
        <v>53</v>
      </c>
      <c r="K39">
        <v>0</v>
      </c>
      <c r="M39">
        <f>K39+L39</f>
        <v>0</v>
      </c>
      <c r="N39">
        <f>M39/43106674.89</f>
        <v>0</v>
      </c>
    </row>
    <row r="40" spans="1:15" x14ac:dyDescent="0.25">
      <c r="A40" t="s">
        <v>54</v>
      </c>
      <c r="B40" t="s">
        <v>55</v>
      </c>
    </row>
    <row r="41" spans="2:15" x14ac:dyDescent="0.25">
      <c r="B41" t="s">
        <v>56</v>
      </c>
    </row>
    <row r="42" spans="1:15" x14ac:dyDescent="0.25">
      <c r="A42" t="s">
        <v>57</v>
      </c>
      <c r="B42" t="s">
        <v>58</v>
      </c>
    </row>
    <row r="43" spans="2:15" x14ac:dyDescent="0.25">
      <c r="B43" t="s">
        <v>59</v>
      </c>
      <c r="C43" t="s">
        <v>60</v>
      </c>
      <c r="D43">
        <v>3</v>
      </c>
      <c r="E43">
        <v>741057.71</v>
      </c>
      <c r="F43">
        <v>2223173.13</v>
      </c>
      <c r="G43">
        <v>0.05157375593624682</v>
      </c>
      <c r="I43" t="s">
        <v>60</v>
      </c>
      <c r="J43">
        <v>0</v>
      </c>
      <c r="K43">
        <v>0</v>
      </c>
      <c r="M43">
        <v>0</v>
      </c>
      <c r="N43">
        <v>0</v>
      </c>
      <c r="O43" t="s">
        <v>30</v>
      </c>
    </row>
    <row r="44" spans="2:15" x14ac:dyDescent="0.25">
      <c r="B44" t="s">
        <v>61</v>
      </c>
      <c r="C44" t="s">
        <v>60</v>
      </c>
      <c r="D44">
        <v>6</v>
      </c>
      <c r="E44">
        <v>55087.33999999999</v>
      </c>
      <c r="F44">
        <v>330524.0399999999</v>
      </c>
      <c r="G44">
        <v>0.007667583752247976</v>
      </c>
      <c r="I44" t="s">
        <v>60</v>
      </c>
      <c r="J44">
        <v>0</v>
      </c>
      <c r="K44">
        <v>0</v>
      </c>
      <c r="M44">
        <v>0</v>
      </c>
      <c r="N44">
        <v>0</v>
      </c>
      <c r="O44" t="s">
        <v>30</v>
      </c>
    </row>
    <row r="45" spans="2:15" x14ac:dyDescent="0.25">
      <c r="B45" t="s">
        <v>62</v>
      </c>
      <c r="C45" t="s">
        <v>60</v>
      </c>
      <c r="D45">
        <v>3</v>
      </c>
      <c r="E45">
        <v>56222.86000000001</v>
      </c>
      <c r="F45">
        <v>168668.58000000002</v>
      </c>
      <c r="G45">
        <v>0.0039128181524186205</v>
      </c>
      <c r="I45" t="s">
        <v>60</v>
      </c>
      <c r="J45">
        <v>0</v>
      </c>
      <c r="K45">
        <v>0</v>
      </c>
      <c r="M45">
        <v>0</v>
      </c>
      <c r="N45">
        <v>0</v>
      </c>
      <c r="O45" t="s">
        <v>30</v>
      </c>
    </row>
    <row r="46" spans="2:15" x14ac:dyDescent="0.25">
      <c r="B46" t="s">
        <v>63</v>
      </c>
      <c r="C46" t="s">
        <v>60</v>
      </c>
      <c r="D46">
        <v>2</v>
      </c>
      <c r="E46">
        <v>87530.69</v>
      </c>
      <c r="F46">
        <v>175061.38</v>
      </c>
      <c r="G46">
        <v>0.004061120010919959</v>
      </c>
      <c r="I46" t="s">
        <v>60</v>
      </c>
      <c r="J46">
        <v>0</v>
      </c>
      <c r="K46">
        <v>0</v>
      </c>
      <c r="M46">
        <v>0</v>
      </c>
      <c r="N46">
        <v>0</v>
      </c>
      <c r="O46" t="s">
        <v>30</v>
      </c>
    </row>
    <row r="47" spans="2:15" x14ac:dyDescent="0.25">
      <c r="B47" t="s">
        <v>64</v>
      </c>
      <c r="K47">
        <v>0</v>
      </c>
      <c r="M47">
        <f>K47+L47</f>
        <v>0</v>
      </c>
      <c r="N47">
        <f>M47/43106674.89</f>
        <v>0</v>
      </c>
    </row>
    <row r="48" spans="2:15" x14ac:dyDescent="0.25">
      <c r="B48" t="s">
        <v>65</v>
      </c>
      <c r="C48" t="s">
        <v>60</v>
      </c>
      <c r="D48">
        <v>11</v>
      </c>
      <c r="E48">
        <v>11760.720000000003</v>
      </c>
      <c r="F48">
        <v>129367.92000000003</v>
      </c>
      <c r="G48">
        <v>0.0030011110884827514</v>
      </c>
      <c r="I48" t="s">
        <v>60</v>
      </c>
      <c r="J48">
        <v>0</v>
      </c>
      <c r="K48">
        <v>0</v>
      </c>
      <c r="M48">
        <f>K48+L48</f>
        <v>0</v>
      </c>
      <c r="N48">
        <f>M48/43106674.89</f>
        <v>0</v>
      </c>
      <c r="O48" t="s">
        <v>30</v>
      </c>
    </row>
    <row r="49" spans="2:15" x14ac:dyDescent="0.25">
      <c r="B49" t="s">
        <v>66</v>
      </c>
      <c r="C49" t="s">
        <v>60</v>
      </c>
      <c r="D49">
        <v>2</v>
      </c>
      <c r="E49">
        <v>22345.370000000003</v>
      </c>
      <c r="F49">
        <v>44690.740000000005</v>
      </c>
      <c r="G49">
        <v>0.0010367475597234585</v>
      </c>
      <c r="I49" t="s">
        <v>60</v>
      </c>
      <c r="J49">
        <v>0</v>
      </c>
      <c r="K49">
        <v>0</v>
      </c>
      <c r="M49">
        <v>0</v>
      </c>
      <c r="N49">
        <v>0</v>
      </c>
      <c r="O49" t="s">
        <v>30</v>
      </c>
    </row>
    <row r="50" spans="2:15" x14ac:dyDescent="0.25">
      <c r="B50" t="s">
        <v>67</v>
      </c>
      <c r="C50" t="s">
        <v>60</v>
      </c>
      <c r="D50">
        <v>2</v>
      </c>
      <c r="E50">
        <v>4351.47</v>
      </c>
      <c r="F50">
        <v>8702.94</v>
      </c>
      <c r="G50">
        <v>0.00020189309479815451</v>
      </c>
      <c r="I50" t="s">
        <v>60</v>
      </c>
      <c r="J50">
        <v>0</v>
      </c>
      <c r="K50">
        <v>0</v>
      </c>
      <c r="M50">
        <v>0</v>
      </c>
      <c r="N50">
        <v>0</v>
      </c>
      <c r="O50" t="s">
        <v>30</v>
      </c>
    </row>
    <row r="51" spans="2:15" x14ac:dyDescent="0.25">
      <c r="B51" t="s">
        <v>68</v>
      </c>
      <c r="C51" t="s">
        <v>60</v>
      </c>
      <c r="D51">
        <v>2</v>
      </c>
      <c r="E51">
        <v>4939.510000000001</v>
      </c>
      <c r="F51">
        <v>9879.020000000002</v>
      </c>
      <c r="G51">
        <v>0.00022917610846137797</v>
      </c>
      <c r="I51" t="s">
        <v>60</v>
      </c>
      <c r="J51">
        <v>0</v>
      </c>
      <c r="K51">
        <v>0</v>
      </c>
      <c r="M51">
        <v>0</v>
      </c>
      <c r="N51">
        <v>0</v>
      </c>
      <c r="O51" t="s">
        <v>30</v>
      </c>
    </row>
    <row r="52" spans="2:15" x14ac:dyDescent="0.25">
      <c r="B52" t="s">
        <v>69</v>
      </c>
      <c r="C52" t="s">
        <v>60</v>
      </c>
      <c r="D52">
        <v>3</v>
      </c>
      <c r="E52">
        <v>8232.51</v>
      </c>
      <c r="F52">
        <v>24697.53</v>
      </c>
      <c r="G52">
        <v>0.0005729398071881761</v>
      </c>
      <c r="I52" t="s">
        <v>60</v>
      </c>
      <c r="J52">
        <v>0</v>
      </c>
      <c r="K52">
        <v>0</v>
      </c>
      <c r="M52">
        <f>K52+L52</f>
        <v>0</v>
      </c>
      <c r="N52">
        <f>M52/43106674.89</f>
        <v>0</v>
      </c>
      <c r="O52" t="s">
        <v>30</v>
      </c>
    </row>
    <row r="53" spans="2:15" x14ac:dyDescent="0.25">
      <c r="B53" t="s">
        <v>70</v>
      </c>
      <c r="C53" t="s">
        <v>60</v>
      </c>
      <c r="D53">
        <v>3</v>
      </c>
      <c r="E53">
        <v>14112.87</v>
      </c>
      <c r="F53">
        <v>42338.61</v>
      </c>
      <c r="G53">
        <v>0.0009821822283449149</v>
      </c>
      <c r="I53" t="s">
        <v>60</v>
      </c>
      <c r="J53">
        <v>0</v>
      </c>
      <c r="K53">
        <v>0</v>
      </c>
      <c r="M53">
        <v>0</v>
      </c>
      <c r="N53">
        <v>0</v>
      </c>
      <c r="O53" t="s">
        <v>30</v>
      </c>
    </row>
    <row r="54" spans="2:15" x14ac:dyDescent="0.25">
      <c r="B54" t="s">
        <v>71</v>
      </c>
      <c r="C54" t="s">
        <v>60</v>
      </c>
      <c r="D54">
        <v>3</v>
      </c>
      <c r="E54">
        <v>5997.970000000001</v>
      </c>
      <c r="F54">
        <v>17993.910000000003</v>
      </c>
      <c r="G54">
        <v>0.00041742746444528643</v>
      </c>
      <c r="I54" t="s">
        <v>60</v>
      </c>
      <c r="J54">
        <v>0</v>
      </c>
      <c r="K54">
        <v>0</v>
      </c>
      <c r="M54">
        <v>0</v>
      </c>
      <c r="N54">
        <v>0</v>
      </c>
      <c r="O54" t="s">
        <v>30</v>
      </c>
    </row>
    <row r="55" spans="2:15" x14ac:dyDescent="0.25">
      <c r="B55" t="s">
        <v>72</v>
      </c>
      <c r="C55" t="s">
        <v>60</v>
      </c>
      <c r="D55">
        <v>1</v>
      </c>
      <c r="E55">
        <v>39751.22</v>
      </c>
      <c r="F55">
        <v>39751.22</v>
      </c>
      <c r="G55">
        <v>0.0009221592735101353</v>
      </c>
      <c r="I55" t="s">
        <v>60</v>
      </c>
      <c r="J55">
        <v>0</v>
      </c>
      <c r="K55">
        <v>0</v>
      </c>
      <c r="M55">
        <v>0</v>
      </c>
      <c r="N55">
        <v>0</v>
      </c>
      <c r="O55" t="s">
        <v>30</v>
      </c>
    </row>
    <row r="56" spans="2:15" x14ac:dyDescent="0.25">
      <c r="B56" t="s">
        <v>73</v>
      </c>
      <c r="K56">
        <v>0</v>
      </c>
      <c r="M56">
        <f>K56+L56</f>
        <v>0</v>
      </c>
      <c r="N56">
        <f>M56/43106674.89</f>
        <v>0</v>
      </c>
    </row>
    <row r="57" spans="2:15" x14ac:dyDescent="0.25">
      <c r="B57" t="s">
        <v>74</v>
      </c>
      <c r="C57" t="s">
        <v>75</v>
      </c>
      <c r="D57">
        <v>10</v>
      </c>
      <c r="E57">
        <v>2120.33</v>
      </c>
      <c r="F57">
        <v>21203.3</v>
      </c>
      <c r="G57">
        <v>0.000491879739138005</v>
      </c>
      <c r="I57" t="s">
        <v>75</v>
      </c>
      <c r="J57">
        <v>0</v>
      </c>
      <c r="K57">
        <v>0</v>
      </c>
      <c r="M57">
        <f>K57+L57</f>
        <v>0</v>
      </c>
      <c r="N57">
        <f>M57/43106674.89</f>
        <v>0</v>
      </c>
      <c r="O57" t="s">
        <v>30</v>
      </c>
    </row>
    <row r="58" spans="2:15" x14ac:dyDescent="0.25">
      <c r="B58" t="s">
        <v>76</v>
      </c>
      <c r="C58" t="s">
        <v>75</v>
      </c>
      <c r="D58">
        <v>13</v>
      </c>
      <c r="E58">
        <v>2952.3500000000004</v>
      </c>
      <c r="F58">
        <v>38380.55</v>
      </c>
      <c r="G58">
        <v>0.0008903621097646669</v>
      </c>
      <c r="I58" t="s">
        <v>75</v>
      </c>
      <c r="J58">
        <v>0</v>
      </c>
      <c r="K58">
        <v>0</v>
      </c>
      <c r="M58">
        <v>0</v>
      </c>
      <c r="N58">
        <v>0</v>
      </c>
      <c r="O58" t="s">
        <v>30</v>
      </c>
    </row>
    <row r="59" spans="2:15" x14ac:dyDescent="0.25">
      <c r="B59" t="s">
        <v>77</v>
      </c>
      <c r="C59" t="s">
        <v>75</v>
      </c>
      <c r="D59">
        <v>14</v>
      </c>
      <c r="E59">
        <v>4696.92</v>
      </c>
      <c r="F59">
        <v>65756.88</v>
      </c>
      <c r="G59">
        <v>0.001525445425048417</v>
      </c>
      <c r="I59" t="s">
        <v>75</v>
      </c>
      <c r="J59">
        <v>0</v>
      </c>
      <c r="K59">
        <v>0</v>
      </c>
      <c r="M59">
        <v>0</v>
      </c>
      <c r="N59">
        <v>0</v>
      </c>
      <c r="O59" t="s">
        <v>30</v>
      </c>
    </row>
    <row r="60" spans="2:15" x14ac:dyDescent="0.25">
      <c r="B60" t="s">
        <v>78</v>
      </c>
      <c r="C60" t="s">
        <v>75</v>
      </c>
      <c r="D60">
        <v>9</v>
      </c>
      <c r="E60">
        <v>6775.95</v>
      </c>
      <c r="F60">
        <v>60983.549999999996</v>
      </c>
      <c r="G60">
        <v>0.001414712458235722</v>
      </c>
      <c r="I60" t="s">
        <v>75</v>
      </c>
      <c r="J60">
        <v>0</v>
      </c>
      <c r="K60">
        <v>0</v>
      </c>
      <c r="M60">
        <v>0</v>
      </c>
      <c r="N60">
        <v>0</v>
      </c>
      <c r="O60" t="s">
        <v>30</v>
      </c>
    </row>
    <row r="61" spans="2:15" x14ac:dyDescent="0.25">
      <c r="B61" t="s">
        <v>79</v>
      </c>
      <c r="C61" t="s">
        <v>75</v>
      </c>
      <c r="D61">
        <v>9</v>
      </c>
      <c r="E61">
        <v>8642.33</v>
      </c>
      <c r="F61">
        <v>77780.97</v>
      </c>
      <c r="G61">
        <v>0.001804383432461032</v>
      </c>
      <c r="I61" t="s">
        <v>75</v>
      </c>
      <c r="J61">
        <v>0</v>
      </c>
      <c r="K61">
        <v>0</v>
      </c>
      <c r="M61">
        <v>0</v>
      </c>
      <c r="N61">
        <v>0</v>
      </c>
      <c r="O61" t="s">
        <v>30</v>
      </c>
    </row>
    <row r="62" spans="2:15" x14ac:dyDescent="0.25">
      <c r="B62" t="s">
        <v>80</v>
      </c>
      <c r="C62" t="s">
        <v>75</v>
      </c>
      <c r="D62">
        <v>2</v>
      </c>
      <c r="E62">
        <v>10870.01</v>
      </c>
      <c r="F62">
        <v>21740.02</v>
      </c>
      <c r="G62">
        <v>0.0005043307110900196</v>
      </c>
      <c r="I62" t="s">
        <v>75</v>
      </c>
      <c r="J62">
        <v>0</v>
      </c>
      <c r="K62">
        <v>0</v>
      </c>
      <c r="M62">
        <v>0</v>
      </c>
      <c r="N62">
        <v>0</v>
      </c>
      <c r="O62" t="s">
        <v>30</v>
      </c>
    </row>
    <row r="63" spans="2:15" x14ac:dyDescent="0.25">
      <c r="B63" t="s">
        <v>81</v>
      </c>
      <c r="C63" t="s">
        <v>75</v>
      </c>
      <c r="D63">
        <v>8</v>
      </c>
      <c r="E63">
        <v>15566.920000000002</v>
      </c>
      <c r="F63">
        <v>124535.36000000002</v>
      </c>
      <c r="G63">
        <v>0.0028890040885266705</v>
      </c>
      <c r="I63" t="s">
        <v>75</v>
      </c>
      <c r="J63">
        <v>0</v>
      </c>
      <c r="K63">
        <v>0</v>
      </c>
      <c r="M63">
        <v>0</v>
      </c>
      <c r="N63">
        <v>0</v>
      </c>
      <c r="O63" t="s">
        <v>30</v>
      </c>
    </row>
    <row r="64" spans="2:15" x14ac:dyDescent="0.25">
      <c r="B64" t="s">
        <v>82</v>
      </c>
      <c r="C64" t="s">
        <v>75</v>
      </c>
      <c r="D64">
        <v>5</v>
      </c>
      <c r="E64">
        <v>21015.330000000005</v>
      </c>
      <c r="F64">
        <v>105076.65000000002</v>
      </c>
      <c r="G64">
        <v>0.0024375958077985723</v>
      </c>
      <c r="I64" t="s">
        <v>75</v>
      </c>
      <c r="J64">
        <v>0</v>
      </c>
      <c r="K64">
        <v>0</v>
      </c>
      <c r="M64">
        <v>0</v>
      </c>
      <c r="N64">
        <v>0</v>
      </c>
      <c r="O64" t="s">
        <v>30</v>
      </c>
    </row>
    <row r="65" spans="2:15" x14ac:dyDescent="0.25">
      <c r="B65" t="s">
        <v>83</v>
      </c>
      <c r="C65" t="s">
        <v>75</v>
      </c>
      <c r="D65">
        <v>4</v>
      </c>
      <c r="E65">
        <v>21015.33</v>
      </c>
      <c r="F65">
        <v>84061.32</v>
      </c>
      <c r="G65">
        <v>0.0019500766462388574</v>
      </c>
      <c r="I65" t="s">
        <v>75</v>
      </c>
      <c r="J65">
        <v>0</v>
      </c>
      <c r="K65">
        <v>0</v>
      </c>
      <c r="M65">
        <v>0</v>
      </c>
      <c r="N65">
        <v>0</v>
      </c>
      <c r="O65" t="s">
        <v>30</v>
      </c>
    </row>
    <row r="66" spans="2:15" x14ac:dyDescent="0.25">
      <c r="B66" t="s">
        <v>84</v>
      </c>
    </row>
    <row r="67" spans="2:15" x14ac:dyDescent="0.25">
      <c r="B67" t="s">
        <v>74</v>
      </c>
      <c r="C67" t="s">
        <v>75</v>
      </c>
      <c r="D67">
        <v>19</v>
      </c>
      <c r="E67">
        <v>433.57</v>
      </c>
      <c r="F67">
        <v>8237.83</v>
      </c>
      <c r="G67">
        <v>0.00019110335049087794</v>
      </c>
      <c r="I67" t="s">
        <v>75</v>
      </c>
      <c r="J67">
        <v>0</v>
      </c>
      <c r="K67">
        <v>0</v>
      </c>
      <c r="M67">
        <f>K67+L67</f>
        <v>0</v>
      </c>
      <c r="N67">
        <f>M67/43106674.89</f>
        <v>0</v>
      </c>
      <c r="O67" t="s">
        <v>30</v>
      </c>
    </row>
    <row r="68" spans="2:15" x14ac:dyDescent="0.25">
      <c r="B68" t="s">
        <v>76</v>
      </c>
      <c r="C68" t="s">
        <v>75</v>
      </c>
      <c r="D68">
        <v>26</v>
      </c>
      <c r="E68">
        <v>441.8299999999999</v>
      </c>
      <c r="F68">
        <v>11487.579999999998</v>
      </c>
      <c r="G68">
        <v>0.000266491907095922</v>
      </c>
      <c r="I68" t="s">
        <v>75</v>
      </c>
      <c r="J68">
        <v>0</v>
      </c>
      <c r="K68">
        <v>0</v>
      </c>
      <c r="M68">
        <f>K68+L68</f>
        <v>0</v>
      </c>
      <c r="N68">
        <f>M68/43106674.89</f>
        <v>0</v>
      </c>
      <c r="O68" t="s">
        <v>30</v>
      </c>
    </row>
    <row r="69" spans="2:15" x14ac:dyDescent="0.25">
      <c r="B69" t="s">
        <v>77</v>
      </c>
      <c r="C69" t="s">
        <v>75</v>
      </c>
      <c r="D69">
        <v>27</v>
      </c>
      <c r="E69">
        <v>516.15</v>
      </c>
      <c r="F69">
        <v>13936.05</v>
      </c>
      <c r="G69">
        <v>0.0003232921591740057</v>
      </c>
      <c r="I69" t="s">
        <v>75</v>
      </c>
      <c r="J69">
        <v>0</v>
      </c>
      <c r="K69">
        <v>0</v>
      </c>
      <c r="M69">
        <f>K69+L69</f>
        <v>0</v>
      </c>
      <c r="N69">
        <f>M69/43106674.89</f>
        <v>0</v>
      </c>
      <c r="O69" t="s">
        <v>30</v>
      </c>
    </row>
    <row r="70" spans="2:15" x14ac:dyDescent="0.25">
      <c r="B70" t="s">
        <v>78</v>
      </c>
      <c r="C70" t="s">
        <v>75</v>
      </c>
      <c r="D70">
        <v>18</v>
      </c>
      <c r="E70">
        <v>629.71</v>
      </c>
      <c r="F70">
        <v>11334.78</v>
      </c>
      <c r="G70">
        <v>0.00026294721244271774</v>
      </c>
      <c r="I70" t="s">
        <v>75</v>
      </c>
      <c r="J70">
        <v>0</v>
      </c>
      <c r="K70">
        <v>0</v>
      </c>
      <c r="M70">
        <f>K70+L70</f>
        <v>0</v>
      </c>
      <c r="N70">
        <f>M70/43106674.89</f>
        <v>0</v>
      </c>
      <c r="O70" t="s">
        <v>30</v>
      </c>
    </row>
    <row r="71" spans="2:15" x14ac:dyDescent="0.25">
      <c r="B71" t="s">
        <v>79</v>
      </c>
      <c r="C71" t="s">
        <v>75</v>
      </c>
      <c r="D71">
        <v>17</v>
      </c>
      <c r="E71">
        <v>708.16</v>
      </c>
      <c r="F71">
        <v>12038.72</v>
      </c>
      <c r="G71">
        <v>0.00027927739800670103</v>
      </c>
      <c r="I71" t="s">
        <v>75</v>
      </c>
      <c r="J71">
        <v>0</v>
      </c>
      <c r="K71">
        <v>0</v>
      </c>
      <c r="M71">
        <v>0</v>
      </c>
      <c r="N71">
        <v>0</v>
      </c>
      <c r="O71" t="s">
        <v>30</v>
      </c>
    </row>
    <row r="72" spans="2:15" x14ac:dyDescent="0.25">
      <c r="B72" t="s">
        <v>80</v>
      </c>
      <c r="C72" t="s">
        <v>75</v>
      </c>
      <c r="D72">
        <v>4</v>
      </c>
      <c r="E72">
        <v>784.55</v>
      </c>
      <c r="F72">
        <v>3138.2</v>
      </c>
      <c r="G72">
        <v>0.00007280079031862434</v>
      </c>
      <c r="I72" t="s">
        <v>75</v>
      </c>
      <c r="J72">
        <v>0</v>
      </c>
      <c r="K72">
        <v>0</v>
      </c>
      <c r="M72">
        <v>0</v>
      </c>
      <c r="N72">
        <v>0</v>
      </c>
      <c r="O72" t="s">
        <v>30</v>
      </c>
    </row>
    <row r="73" spans="2:15" x14ac:dyDescent="0.25">
      <c r="B73" t="s">
        <v>81</v>
      </c>
      <c r="C73" t="s">
        <v>75</v>
      </c>
      <c r="D73">
        <v>15</v>
      </c>
      <c r="E73">
        <v>846.49</v>
      </c>
      <c r="F73">
        <v>12697.35</v>
      </c>
      <c r="G73">
        <v>0.00029455647025434476</v>
      </c>
      <c r="I73" t="s">
        <v>75</v>
      </c>
      <c r="J73">
        <v>0</v>
      </c>
      <c r="K73">
        <v>0</v>
      </c>
      <c r="M73">
        <f>K73+L73</f>
        <v>0</v>
      </c>
      <c r="N73">
        <f>M73/43106674.89</f>
        <v>0</v>
      </c>
      <c r="O73" t="s">
        <v>30</v>
      </c>
    </row>
    <row r="74" spans="2:15" x14ac:dyDescent="0.25">
      <c r="B74" t="s">
        <v>82</v>
      </c>
      <c r="C74" t="s">
        <v>75</v>
      </c>
      <c r="D74">
        <v>10</v>
      </c>
      <c r="E74">
        <v>896.03</v>
      </c>
      <c r="F74">
        <v>8960.3</v>
      </c>
      <c r="G74">
        <v>0.00020786339987635257</v>
      </c>
      <c r="I74" t="s">
        <v>75</v>
      </c>
      <c r="J74">
        <v>0</v>
      </c>
      <c r="K74">
        <v>0</v>
      </c>
      <c r="M74">
        <f>K74+L74</f>
        <v>0</v>
      </c>
      <c r="N74">
        <f>M74/43106674.89</f>
        <v>0</v>
      </c>
      <c r="O74" t="s">
        <v>30</v>
      </c>
    </row>
    <row r="75" spans="2:15" x14ac:dyDescent="0.25">
      <c r="B75" t="s">
        <v>83</v>
      </c>
      <c r="C75" t="s">
        <v>75</v>
      </c>
      <c r="D75">
        <v>8</v>
      </c>
      <c r="E75">
        <v>896.03</v>
      </c>
      <c r="F75">
        <v>7168.24</v>
      </c>
      <c r="G75">
        <v>0.00016629071990108206</v>
      </c>
      <c r="I75" t="s">
        <v>75</v>
      </c>
      <c r="J75">
        <v>0</v>
      </c>
      <c r="K75">
        <v>0</v>
      </c>
      <c r="M75">
        <f>K75+L75</f>
        <v>0</v>
      </c>
      <c r="N75">
        <f>M75/43106674.89</f>
        <v>0</v>
      </c>
      <c r="O75" t="s">
        <v>30</v>
      </c>
    </row>
    <row r="76" spans="2:15" x14ac:dyDescent="0.25">
      <c r="B76" t="s">
        <v>85</v>
      </c>
      <c r="C76" t="s">
        <v>26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">
        <v>26</v>
      </c>
      <c r="J76">
        <v>0</v>
      </c>
      <c r="K76">
        <v>0</v>
      </c>
      <c r="M76">
        <f>K76+L76</f>
        <v>0</v>
      </c>
      <c r="N76">
        <f>M76/43106674.89</f>
        <v>0</v>
      </c>
      <c r="O76" t="s">
        <v>30</v>
      </c>
    </row>
    <row r="77" spans="2:15" x14ac:dyDescent="0.25">
      <c r="B77" t="s">
        <v>86</v>
      </c>
      <c r="C77" t="s">
        <v>87</v>
      </c>
      <c r="D77">
        <v>22</v>
      </c>
      <c r="E77">
        <v>3207.4800000000005</v>
      </c>
      <c r="F77">
        <v>70564.56000000001</v>
      </c>
      <c r="G77">
        <v>0.0016369752522101802</v>
      </c>
      <c r="I77" t="s">
        <v>87</v>
      </c>
      <c r="J77">
        <v>0</v>
      </c>
      <c r="K77">
        <v>0</v>
      </c>
      <c r="M77">
        <f>K77+L77</f>
        <v>0</v>
      </c>
      <c r="N77">
        <f>M77/43106674.89</f>
        <v>0</v>
      </c>
      <c r="O77" t="s">
        <v>30</v>
      </c>
    </row>
    <row r="78" spans="2:15" x14ac:dyDescent="0.25">
      <c r="B78" t="s">
        <v>88</v>
      </c>
      <c r="C78" t="s">
        <v>26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">
        <v>26</v>
      </c>
      <c r="J78">
        <v>0</v>
      </c>
      <c r="K78">
        <v>0</v>
      </c>
      <c r="M78">
        <f>K78+L78</f>
        <v>0</v>
      </c>
      <c r="N78">
        <f>M78/43106674.89</f>
        <v>0</v>
      </c>
      <c r="O78" t="s">
        <v>30</v>
      </c>
    </row>
    <row r="79" spans="2:15" x14ac:dyDescent="0.25">
      <c r="B79" t="s">
        <v>89</v>
      </c>
      <c r="C79" t="s">
        <v>90</v>
      </c>
      <c r="D79">
        <v>3</v>
      </c>
      <c r="E79">
        <v>9622.41</v>
      </c>
      <c r="F79">
        <v>28867.23</v>
      </c>
      <c r="G79">
        <v>0.0006696696062422733</v>
      </c>
      <c r="I79" t="s">
        <v>90</v>
      </c>
      <c r="K79">
        <v>0</v>
      </c>
      <c r="M79">
        <f>K79+L79</f>
        <v>0</v>
      </c>
      <c r="N79">
        <f>M79/43106674.89</f>
        <v>0</v>
      </c>
      <c r="O79" t="s">
        <v>30</v>
      </c>
    </row>
    <row r="80" spans="2:15" x14ac:dyDescent="0.25">
      <c r="B80" t="s">
        <v>91</v>
      </c>
      <c r="K80">
        <v>0</v>
      </c>
      <c r="M80">
        <f>K80+L80</f>
        <v>0</v>
      </c>
      <c r="N80">
        <f>M80/43106674.89</f>
        <v>0</v>
      </c>
    </row>
    <row r="81" spans="2:15" x14ac:dyDescent="0.25">
      <c r="B81" t="s">
        <v>92</v>
      </c>
      <c r="C81" t="s">
        <v>75</v>
      </c>
      <c r="D81">
        <v>39</v>
      </c>
      <c r="E81">
        <v>404.15</v>
      </c>
      <c r="F81">
        <v>15761.849999999999</v>
      </c>
      <c r="G81">
        <v>0.00036564754855764736</v>
      </c>
      <c r="I81" t="s">
        <v>75</v>
      </c>
      <c r="J81">
        <v>0</v>
      </c>
      <c r="K81">
        <v>0</v>
      </c>
      <c r="M81">
        <v>0</v>
      </c>
      <c r="N81">
        <v>0</v>
      </c>
      <c r="O81" t="s">
        <v>30</v>
      </c>
    </row>
    <row r="82" spans="2:15" x14ac:dyDescent="0.25">
      <c r="B82" t="s">
        <v>93</v>
      </c>
      <c r="C82" t="s">
        <v>75</v>
      </c>
      <c r="D82">
        <v>22</v>
      </c>
      <c r="E82">
        <v>641.8299999999999</v>
      </c>
      <c r="F82">
        <v>14120.259999999998</v>
      </c>
      <c r="G82">
        <v>0.0003275655112817725</v>
      </c>
      <c r="I82" t="s">
        <v>75</v>
      </c>
      <c r="J82">
        <v>0</v>
      </c>
      <c r="K82">
        <v>0</v>
      </c>
      <c r="M82">
        <v>0</v>
      </c>
      <c r="N82">
        <v>0</v>
      </c>
      <c r="O82" t="s">
        <v>30</v>
      </c>
    </row>
    <row r="83" spans="2:15" x14ac:dyDescent="0.25">
      <c r="B83" t="s">
        <v>94</v>
      </c>
    </row>
    <row r="84" spans="2:15" x14ac:dyDescent="0.25">
      <c r="B84" t="s">
        <v>95</v>
      </c>
      <c r="C84" t="s">
        <v>75</v>
      </c>
      <c r="D84">
        <v>77</v>
      </c>
      <c r="E84">
        <v>427.66999999999996</v>
      </c>
      <c r="F84">
        <v>32930.59</v>
      </c>
      <c r="G84">
        <v>0.0007639325019624585</v>
      </c>
      <c r="I84" t="s">
        <v>75</v>
      </c>
      <c r="J84">
        <v>0</v>
      </c>
      <c r="K84">
        <v>0</v>
      </c>
      <c r="M84">
        <f>K84+L84</f>
        <v>0</v>
      </c>
      <c r="N84">
        <f>M84/43106674.89</f>
        <v>0</v>
      </c>
      <c r="O84" t="s">
        <v>30</v>
      </c>
    </row>
    <row r="85" spans="2:15" x14ac:dyDescent="0.25">
      <c r="B85" t="s">
        <v>96</v>
      </c>
      <c r="C85" t="s">
        <v>75</v>
      </c>
      <c r="D85">
        <v>43</v>
      </c>
      <c r="E85">
        <v>812.5699999999998</v>
      </c>
      <c r="F85">
        <v>34940.509999999995</v>
      </c>
      <c r="G85">
        <v>0.0008105591556101575</v>
      </c>
      <c r="I85" t="s">
        <v>75</v>
      </c>
      <c r="J85">
        <v>0</v>
      </c>
      <c r="K85">
        <v>0</v>
      </c>
      <c r="M85">
        <f>K85+L85</f>
        <v>0</v>
      </c>
      <c r="N85">
        <f>M85/43106674.89</f>
        <v>0</v>
      </c>
      <c r="O85" t="s">
        <v>30</v>
      </c>
    </row>
    <row r="86" spans="2:15" x14ac:dyDescent="0.25">
      <c r="B86" t="s">
        <v>97</v>
      </c>
      <c r="K86">
        <v>0</v>
      </c>
      <c r="M86">
        <f>K86+L86</f>
        <v>0</v>
      </c>
      <c r="N86">
        <f>M86/43106674.89</f>
        <v>0</v>
      </c>
    </row>
    <row r="87" spans="2:15" x14ac:dyDescent="0.25">
      <c r="B87" t="s">
        <v>98</v>
      </c>
      <c r="C87" t="s">
        <v>90</v>
      </c>
      <c r="D87">
        <v>9</v>
      </c>
      <c r="E87">
        <v>30473.16</v>
      </c>
      <c r="F87">
        <v>274258.44</v>
      </c>
      <c r="G87">
        <v>0.0063623195409957985</v>
      </c>
      <c r="I87" t="s">
        <v>90</v>
      </c>
      <c r="K87">
        <v>0</v>
      </c>
      <c r="M87">
        <f>K87+L87</f>
        <v>0</v>
      </c>
      <c r="N87">
        <f>M87/43106674.89</f>
        <v>0</v>
      </c>
      <c r="O87" t="s">
        <v>30</v>
      </c>
    </row>
    <row r="88" spans="10:15" x14ac:dyDescent="0.25">
      <c r="J88">
        <v>0</v>
      </c>
      <c r="K88">
        <v>0</v>
      </c>
      <c r="M88">
        <f>K88+L88</f>
        <v>0</v>
      </c>
      <c r="N88">
        <f>M88/43106674.89</f>
        <v>0</v>
      </c>
    </row>
    <row r="89" spans="2:15" x14ac:dyDescent="0.25">
      <c r="B89" t="s">
        <v>99</v>
      </c>
      <c r="K89">
        <v>0</v>
      </c>
      <c r="M89">
        <f>K89+L89</f>
        <v>0</v>
      </c>
      <c r="N89">
        <f>M89/43106674.89</f>
        <v>0</v>
      </c>
    </row>
    <row r="90" spans="2:15" x14ac:dyDescent="0.25">
      <c r="B90" t="s">
        <v>100</v>
      </c>
      <c r="C90" t="s">
        <v>90</v>
      </c>
      <c r="D90">
        <v>11</v>
      </c>
      <c r="E90">
        <v>192.45999999999995</v>
      </c>
      <c r="F90">
        <v>2117.0599999999995</v>
      </c>
      <c r="G90">
        <v>0.00004911211559236084</v>
      </c>
      <c r="I90" t="s">
        <v>90</v>
      </c>
      <c r="J90">
        <v>0</v>
      </c>
      <c r="K90">
        <v>0</v>
      </c>
      <c r="M90">
        <f>K90+L90</f>
        <v>0</v>
      </c>
      <c r="N90">
        <f>M90/43106674.89</f>
        <v>0</v>
      </c>
      <c r="O90" t="s">
        <v>30</v>
      </c>
    </row>
    <row r="91" spans="2:15" x14ac:dyDescent="0.25">
      <c r="B91" t="s">
        <v>101</v>
      </c>
      <c r="C91" t="s">
        <v>90</v>
      </c>
      <c r="D91">
        <v>2</v>
      </c>
      <c r="E91">
        <v>53.47</v>
      </c>
      <c r="F91">
        <v>106.94</v>
      </c>
      <c r="G91">
        <v>0.0000024808222919742803</v>
      </c>
      <c r="I91" t="s">
        <v>90</v>
      </c>
      <c r="J91">
        <v>0</v>
      </c>
      <c r="K91">
        <v>0</v>
      </c>
      <c r="M91">
        <f>K91+L91</f>
        <v>0</v>
      </c>
      <c r="N91">
        <f>M91/43106674.89</f>
        <v>0</v>
      </c>
      <c r="O91" t="s">
        <v>30</v>
      </c>
    </row>
    <row r="92" spans="2:15" x14ac:dyDescent="0.25">
      <c r="B92" t="s">
        <v>102</v>
      </c>
      <c r="C92" t="s">
        <v>90</v>
      </c>
      <c r="D92">
        <v>2</v>
      </c>
      <c r="E92">
        <v>203.14999999999998</v>
      </c>
      <c r="F92">
        <v>406.29999999999995</v>
      </c>
      <c r="G92">
        <v>0.000009425454434534786</v>
      </c>
      <c r="I92" t="s">
        <v>90</v>
      </c>
      <c r="J92">
        <v>0</v>
      </c>
      <c r="K92">
        <v>0</v>
      </c>
      <c r="M92">
        <f>K92+L92</f>
        <v>0</v>
      </c>
      <c r="N92">
        <f>M92/43106674.89</f>
        <v>0</v>
      </c>
      <c r="O92" t="s">
        <v>30</v>
      </c>
    </row>
    <row r="93" spans="2:15" x14ac:dyDescent="0.25">
      <c r="B93" t="s">
        <v>103</v>
      </c>
      <c r="C93" t="s">
        <v>90</v>
      </c>
      <c r="D93">
        <v>6</v>
      </c>
      <c r="E93">
        <v>43.629999999999995</v>
      </c>
      <c r="F93">
        <v>261.78</v>
      </c>
      <c r="G93">
        <v>0.00000607284140259049</v>
      </c>
      <c r="I93" t="s">
        <v>90</v>
      </c>
      <c r="J93">
        <v>0</v>
      </c>
      <c r="K93">
        <v>0</v>
      </c>
      <c r="M93">
        <v>0</v>
      </c>
      <c r="N93">
        <v>0</v>
      </c>
      <c r="O93" t="s">
        <v>30</v>
      </c>
    </row>
    <row r="94" spans="2:15" x14ac:dyDescent="0.25">
      <c r="B94" t="s">
        <v>104</v>
      </c>
      <c r="C94" t="s">
        <v>90</v>
      </c>
      <c r="D94">
        <v>4</v>
      </c>
      <c r="E94">
        <v>213.84</v>
      </c>
      <c r="F94">
        <v>855.36</v>
      </c>
      <c r="G94">
        <v>0.00001984286661364429</v>
      </c>
      <c r="I94" t="s">
        <v>90</v>
      </c>
      <c r="J94">
        <v>0</v>
      </c>
      <c r="K94">
        <v>0</v>
      </c>
      <c r="M94">
        <v>0</v>
      </c>
      <c r="N94">
        <v>0</v>
      </c>
      <c r="O94" t="s">
        <v>30</v>
      </c>
    </row>
    <row r="95" spans="2:15" x14ac:dyDescent="0.25">
      <c r="B95" t="s">
        <v>105</v>
      </c>
      <c r="K95">
        <v>0</v>
      </c>
      <c r="M95">
        <f>K95+L95</f>
        <v>0</v>
      </c>
      <c r="N95">
        <f>M95/43106674.89</f>
        <v>0</v>
      </c>
    </row>
    <row r="96" spans="2:15" x14ac:dyDescent="0.25">
      <c r="B96" t="s">
        <v>106</v>
      </c>
      <c r="K96">
        <v>0</v>
      </c>
      <c r="M96">
        <f>K96+L96</f>
        <v>0</v>
      </c>
      <c r="N96">
        <f>M96/43106674.89</f>
        <v>0</v>
      </c>
    </row>
    <row r="97" spans="2:15" x14ac:dyDescent="0.25">
      <c r="B97" t="s">
        <v>107</v>
      </c>
      <c r="C97" t="s">
        <v>108</v>
      </c>
      <c r="D97">
        <v>78</v>
      </c>
      <c r="E97">
        <v>404.15</v>
      </c>
      <c r="F97">
        <v>31523.699999999997</v>
      </c>
      <c r="G97">
        <v>0.0007312950971152947</v>
      </c>
      <c r="I97" t="s">
        <v>108</v>
      </c>
      <c r="J97">
        <v>0</v>
      </c>
      <c r="K97">
        <v>0</v>
      </c>
      <c r="M97">
        <f>K97+L97</f>
        <v>0</v>
      </c>
      <c r="N97">
        <f>M97/43106674.89</f>
        <v>0</v>
      </c>
      <c r="O97" t="s">
        <v>30</v>
      </c>
    </row>
    <row r="98" spans="2:15" x14ac:dyDescent="0.25">
      <c r="B98" t="s">
        <v>109</v>
      </c>
      <c r="C98" t="s">
        <v>108</v>
      </c>
      <c r="D98">
        <v>586</v>
      </c>
      <c r="E98">
        <v>65.87</v>
      </c>
      <c r="F98">
        <v>38599.82</v>
      </c>
      <c r="G98">
        <v>0.0008954487929885419</v>
      </c>
      <c r="I98" t="s">
        <v>108</v>
      </c>
      <c r="J98">
        <v>0</v>
      </c>
      <c r="K98">
        <v>0</v>
      </c>
      <c r="M98">
        <f>K98+L98</f>
        <v>0</v>
      </c>
      <c r="N98">
        <f>M98/43106674.89</f>
        <v>0</v>
      </c>
      <c r="O98" t="s">
        <v>30</v>
      </c>
    </row>
    <row r="99" spans="2:15" x14ac:dyDescent="0.25">
      <c r="B99" t="s">
        <v>110</v>
      </c>
      <c r="C99" t="s">
        <v>90</v>
      </c>
      <c r="D99">
        <v>29</v>
      </c>
      <c r="E99">
        <v>32.09</v>
      </c>
      <c r="F99">
        <v>930.6100000000001</v>
      </c>
      <c r="G99">
        <v>0.000021588535937293673</v>
      </c>
      <c r="I99" t="s">
        <v>90</v>
      </c>
      <c r="J99">
        <v>0</v>
      </c>
      <c r="K99">
        <v>0</v>
      </c>
      <c r="M99">
        <f>K99+L99</f>
        <v>0</v>
      </c>
      <c r="N99">
        <f>M99/43106674.89</f>
        <v>0</v>
      </c>
      <c r="O99" t="s">
        <v>30</v>
      </c>
    </row>
    <row r="100" spans="2:15" x14ac:dyDescent="0.25">
      <c r="B100" t="s">
        <v>111</v>
      </c>
      <c r="K100">
        <v>0</v>
      </c>
      <c r="M100">
        <f>K100+L100</f>
        <v>0</v>
      </c>
      <c r="N100">
        <f>M100/43106674.89</f>
        <v>0</v>
      </c>
    </row>
    <row r="101" spans="2:15" x14ac:dyDescent="0.25">
      <c r="B101" t="s">
        <v>112</v>
      </c>
      <c r="C101" t="s">
        <v>108</v>
      </c>
      <c r="D101">
        <v>419</v>
      </c>
      <c r="E101">
        <v>80.84000000000002</v>
      </c>
      <c r="F101">
        <v>33871.96000000001</v>
      </c>
      <c r="G101">
        <v>0.0007857706512143367</v>
      </c>
      <c r="I101" t="s">
        <v>108</v>
      </c>
      <c r="J101">
        <v>0</v>
      </c>
      <c r="K101">
        <v>0</v>
      </c>
      <c r="M101">
        <f>K101+L101</f>
        <v>0</v>
      </c>
      <c r="N101">
        <f>M101/43106674.89</f>
        <v>0</v>
      </c>
      <c r="O101" t="s">
        <v>30</v>
      </c>
    </row>
    <row r="102" spans="2:15" x14ac:dyDescent="0.25">
      <c r="B102" t="s">
        <v>113</v>
      </c>
      <c r="C102" t="s">
        <v>108</v>
      </c>
      <c r="D102">
        <v>71</v>
      </c>
      <c r="E102">
        <v>78.48000000000002</v>
      </c>
      <c r="F102">
        <v>5572.080000000002</v>
      </c>
      <c r="G102">
        <v>0.00012926257973315926</v>
      </c>
      <c r="I102" t="s">
        <v>108</v>
      </c>
      <c r="J102">
        <v>0</v>
      </c>
      <c r="K102">
        <v>0</v>
      </c>
      <c r="M102">
        <f>K102+L102</f>
        <v>0</v>
      </c>
      <c r="N102">
        <f>M102/43106674.89</f>
        <v>0</v>
      </c>
      <c r="O102" t="s">
        <v>30</v>
      </c>
    </row>
    <row r="103" spans="2:15" x14ac:dyDescent="0.25">
      <c r="B103" t="s">
        <v>114</v>
      </c>
      <c r="C103" t="s">
        <v>108</v>
      </c>
      <c r="D103">
        <v>26</v>
      </c>
      <c r="E103">
        <v>120.11</v>
      </c>
      <c r="F103">
        <v>3122.86</v>
      </c>
      <c r="G103">
        <v>0.00007244492895749768</v>
      </c>
      <c r="I103" t="s">
        <v>108</v>
      </c>
      <c r="J103">
        <v>0</v>
      </c>
      <c r="K103">
        <v>0</v>
      </c>
      <c r="M103">
        <f>K103+L103</f>
        <v>0</v>
      </c>
      <c r="N103">
        <f>M103/43106674.89</f>
        <v>0</v>
      </c>
      <c r="O103" t="s">
        <v>30</v>
      </c>
    </row>
    <row r="104" spans="2:15" x14ac:dyDescent="0.25">
      <c r="B104" t="s">
        <v>115</v>
      </c>
      <c r="C104" t="s">
        <v>108</v>
      </c>
      <c r="D104">
        <v>59</v>
      </c>
      <c r="E104">
        <v>790.33</v>
      </c>
      <c r="F104">
        <v>46629.47</v>
      </c>
      <c r="G104">
        <v>0.0010817227289970633</v>
      </c>
      <c r="I104" t="s">
        <v>108</v>
      </c>
      <c r="J104">
        <v>0</v>
      </c>
      <c r="K104">
        <v>0</v>
      </c>
      <c r="M104">
        <v>0</v>
      </c>
      <c r="N104">
        <v>0</v>
      </c>
      <c r="O104" t="s">
        <v>30</v>
      </c>
    </row>
    <row r="105" spans="2:15" x14ac:dyDescent="0.25">
      <c r="B105" t="s">
        <v>116</v>
      </c>
      <c r="K105">
        <v>0</v>
      </c>
      <c r="M105">
        <f>K105+L105</f>
        <v>0</v>
      </c>
      <c r="N105">
        <f>M105/43106674.89</f>
        <v>0</v>
      </c>
    </row>
    <row r="106" spans="2:15" x14ac:dyDescent="0.25">
      <c r="B106" t="s">
        <v>117</v>
      </c>
      <c r="C106" t="s">
        <v>108</v>
      </c>
      <c r="D106">
        <v>72</v>
      </c>
      <c r="E106">
        <v>78.48000000000002</v>
      </c>
      <c r="F106">
        <v>5650.560000000001</v>
      </c>
      <c r="G106">
        <v>0.0001310831794477108</v>
      </c>
      <c r="I106" t="s">
        <v>108</v>
      </c>
      <c r="J106">
        <v>0</v>
      </c>
      <c r="K106">
        <v>0</v>
      </c>
      <c r="M106">
        <v>0</v>
      </c>
      <c r="N106">
        <v>0</v>
      </c>
      <c r="O106" t="s">
        <v>30</v>
      </c>
    </row>
    <row r="107" spans="2:15" x14ac:dyDescent="0.25">
      <c r="B107" t="s">
        <v>118</v>
      </c>
      <c r="C107" t="s">
        <v>108</v>
      </c>
      <c r="D107">
        <v>20</v>
      </c>
      <c r="E107">
        <v>187.88</v>
      </c>
      <c r="F107">
        <v>3757.6</v>
      </c>
      <c r="G107">
        <v>0.00008716979469162666</v>
      </c>
      <c r="I107" t="s">
        <v>108</v>
      </c>
      <c r="J107">
        <v>0</v>
      </c>
      <c r="K107">
        <v>0</v>
      </c>
      <c r="M107">
        <f>K107+L107</f>
        <v>0</v>
      </c>
      <c r="N107">
        <f>M107/43106674.89</f>
        <v>0</v>
      </c>
      <c r="O107" t="s">
        <v>30</v>
      </c>
    </row>
    <row r="108" spans="1:15" x14ac:dyDescent="0.25">
      <c r="A108" t="s">
        <v>119</v>
      </c>
      <c r="B108" t="s">
        <v>120</v>
      </c>
    </row>
    <row r="109" spans="2:15" x14ac:dyDescent="0.25">
      <c r="B109" t="s">
        <v>121</v>
      </c>
      <c r="C109" t="s">
        <v>90</v>
      </c>
      <c r="D109">
        <v>20</v>
      </c>
      <c r="E109">
        <v>1389.91</v>
      </c>
      <c r="F109">
        <v>27798.2</v>
      </c>
      <c r="G109">
        <v>0.0006448699666800023</v>
      </c>
      <c r="I109" t="s">
        <v>90</v>
      </c>
      <c r="J109">
        <v>0</v>
      </c>
      <c r="K109">
        <v>0</v>
      </c>
      <c r="M109">
        <f>K109+L109</f>
        <v>0</v>
      </c>
      <c r="N109">
        <f>M109/43106674.89</f>
        <v>0</v>
      </c>
      <c r="O109" t="s">
        <v>30</v>
      </c>
    </row>
    <row r="110" spans="2:15" x14ac:dyDescent="0.25">
      <c r="B110" t="s">
        <v>122</v>
      </c>
      <c r="C110" t="s">
        <v>75</v>
      </c>
      <c r="D110">
        <v>7</v>
      </c>
      <c r="E110">
        <v>2523.2200000000003</v>
      </c>
      <c r="F110">
        <v>17662.54</v>
      </c>
      <c r="G110">
        <v>0.00040974025589010106</v>
      </c>
      <c r="I110" t="s">
        <v>75</v>
      </c>
      <c r="J110">
        <v>0</v>
      </c>
      <c r="K110">
        <v>0</v>
      </c>
      <c r="M110">
        <v>0</v>
      </c>
      <c r="N110">
        <v>0</v>
      </c>
      <c r="O110" t="s">
        <v>30</v>
      </c>
    </row>
    <row r="111" spans="2:15" x14ac:dyDescent="0.25">
      <c r="B111" t="s">
        <v>123</v>
      </c>
      <c r="C111" t="s">
        <v>124</v>
      </c>
      <c r="D111">
        <v>21</v>
      </c>
      <c r="E111">
        <v>277.99000000000007</v>
      </c>
      <c r="F111">
        <v>5837.790000000002</v>
      </c>
      <c r="G111">
        <v>0.00013542659031105797</v>
      </c>
      <c r="I111" t="s">
        <v>124</v>
      </c>
      <c r="J111">
        <v>0</v>
      </c>
      <c r="K111">
        <v>0</v>
      </c>
      <c r="M111">
        <f>K111+L111</f>
        <v>0</v>
      </c>
      <c r="N111">
        <f>M111/43106674.89</f>
        <v>0</v>
      </c>
      <c r="O111" t="s">
        <v>30</v>
      </c>
    </row>
    <row r="112" spans="2:15" x14ac:dyDescent="0.25">
      <c r="B112" t="s">
        <v>125</v>
      </c>
      <c r="C112" t="s">
        <v>126</v>
      </c>
      <c r="D112">
        <v>42</v>
      </c>
      <c r="E112">
        <v>374.21999999999997</v>
      </c>
      <c r="F112">
        <v>15717.239999999998</v>
      </c>
      <c r="G112">
        <v>0.0003646126740257138</v>
      </c>
      <c r="I112" t="s">
        <v>126</v>
      </c>
      <c r="J112">
        <v>0</v>
      </c>
      <c r="K112">
        <v>0</v>
      </c>
      <c r="M112">
        <v>0</v>
      </c>
      <c r="N112">
        <v>0</v>
      </c>
      <c r="O112" t="s">
        <v>30</v>
      </c>
    </row>
    <row r="113" spans="2:15" x14ac:dyDescent="0.25">
      <c r="B113" t="s">
        <v>127</v>
      </c>
      <c r="C113" t="s">
        <v>75</v>
      </c>
      <c r="D113">
        <v>94</v>
      </c>
      <c r="E113">
        <v>171.07000000000002</v>
      </c>
      <c r="F113">
        <v>16080.580000000002</v>
      </c>
      <c r="G113">
        <v>0.0003730415310629865</v>
      </c>
      <c r="I113" t="s">
        <v>75</v>
      </c>
      <c r="J113">
        <v>0</v>
      </c>
      <c r="K113">
        <v>0</v>
      </c>
      <c r="M113">
        <v>0</v>
      </c>
      <c r="N113">
        <v>0</v>
      </c>
      <c r="O113" t="s">
        <v>30</v>
      </c>
    </row>
    <row r="114" spans="2:15" x14ac:dyDescent="0.25">
      <c r="B114" t="s">
        <v>128</v>
      </c>
      <c r="C114" t="s">
        <v>90</v>
      </c>
      <c r="D114">
        <v>32</v>
      </c>
      <c r="E114">
        <v>21.39</v>
      </c>
      <c r="F114">
        <v>684.48</v>
      </c>
      <c r="G114">
        <v>0.000015878747357495374</v>
      </c>
      <c r="I114" t="s">
        <v>90</v>
      </c>
      <c r="J114">
        <v>0</v>
      </c>
      <c r="K114">
        <v>0</v>
      </c>
      <c r="M114">
        <f>K114+L114</f>
        <v>0</v>
      </c>
      <c r="N114">
        <f>M114/43106674.89</f>
        <v>0</v>
      </c>
      <c r="O114" t="s">
        <v>30</v>
      </c>
    </row>
    <row r="115" spans="2:15" x14ac:dyDescent="0.25">
      <c r="B115" t="s">
        <v>129</v>
      </c>
      <c r="C115" t="s">
        <v>90</v>
      </c>
      <c r="D115">
        <v>32</v>
      </c>
      <c r="E115">
        <v>10.699999999999998</v>
      </c>
      <c r="F115">
        <v>342.3999999999999</v>
      </c>
      <c r="G115">
        <v>0.000007943085400897639</v>
      </c>
      <c r="I115" t="s">
        <v>90</v>
      </c>
      <c r="J115">
        <v>0</v>
      </c>
      <c r="K115">
        <v>0</v>
      </c>
      <c r="M115">
        <f>K115+L115</f>
        <v>0</v>
      </c>
      <c r="N115">
        <f>M115/43106674.89</f>
        <v>0</v>
      </c>
      <c r="O115" t="s">
        <v>30</v>
      </c>
    </row>
    <row r="116" spans="2:15" x14ac:dyDescent="0.25">
      <c r="B116" t="s">
        <v>130</v>
      </c>
      <c r="C116" t="s">
        <v>131</v>
      </c>
      <c r="D116">
        <v>1</v>
      </c>
      <c r="E116">
        <v>3432</v>
      </c>
      <c r="F116">
        <v>3432</v>
      </c>
      <c r="G116">
        <v>0.000079616440116474</v>
      </c>
      <c r="I116" t="s">
        <v>131</v>
      </c>
      <c r="J116">
        <v>0</v>
      </c>
      <c r="K116">
        <v>0</v>
      </c>
      <c r="M116">
        <v>0</v>
      </c>
      <c r="N116">
        <v>0</v>
      </c>
      <c r="O116" t="s">
        <v>30</v>
      </c>
    </row>
    <row r="117" spans="2:15" x14ac:dyDescent="0.25">
      <c r="B117" t="s">
        <v>132</v>
      </c>
      <c r="C117" t="s">
        <v>90</v>
      </c>
      <c r="D117">
        <v>351</v>
      </c>
      <c r="E117">
        <v>42.78000000000001</v>
      </c>
      <c r="F117">
        <v>15015.780000000002</v>
      </c>
      <c r="G117">
        <v>0.00034834002015505486</v>
      </c>
      <c r="I117" t="s">
        <v>90</v>
      </c>
      <c r="J117">
        <v>0</v>
      </c>
      <c r="K117">
        <v>0</v>
      </c>
      <c r="M117">
        <v>0</v>
      </c>
      <c r="N117">
        <v>0</v>
      </c>
      <c r="O117" t="s">
        <v>30</v>
      </c>
    </row>
    <row r="118" spans="2:15" x14ac:dyDescent="0.25">
      <c r="B118" t="s">
        <v>133</v>
      </c>
      <c r="C118" t="s">
        <v>134</v>
      </c>
      <c r="D118">
        <v>6</v>
      </c>
      <c r="E118">
        <v>14497.769999999999</v>
      </c>
      <c r="F118">
        <v>86986.62</v>
      </c>
      <c r="G118">
        <v>0.0020179385262717015</v>
      </c>
      <c r="I118" t="s">
        <v>134</v>
      </c>
      <c r="J118">
        <v>0</v>
      </c>
      <c r="K118">
        <v>0</v>
      </c>
      <c r="M118">
        <f>K118+L118</f>
        <v>0</v>
      </c>
      <c r="N118">
        <f>M118/43106674.89</f>
        <v>0</v>
      </c>
      <c r="O118" t="s">
        <v>30</v>
      </c>
    </row>
    <row r="119" spans="2:15" x14ac:dyDescent="0.25">
      <c r="B119" t="s">
        <v>135</v>
      </c>
      <c r="C119" t="s">
        <v>134</v>
      </c>
      <c r="D119">
        <v>3</v>
      </c>
      <c r="E119">
        <v>18175.66</v>
      </c>
      <c r="F119">
        <v>54526.979999999996</v>
      </c>
      <c r="G119">
        <v>0.001264931246474993</v>
      </c>
      <c r="I119" t="s">
        <v>134</v>
      </c>
      <c r="J119">
        <v>0</v>
      </c>
      <c r="K119">
        <v>0</v>
      </c>
      <c r="M119">
        <f>K119+L119</f>
        <v>0</v>
      </c>
      <c r="N119">
        <f>M119/43106674.89</f>
        <v>0</v>
      </c>
      <c r="O119" t="s">
        <v>30</v>
      </c>
    </row>
    <row r="120" spans="2:15" x14ac:dyDescent="0.25">
      <c r="B120" t="s">
        <v>136</v>
      </c>
      <c r="C120" t="s">
        <v>134</v>
      </c>
      <c r="D120">
        <v>11</v>
      </c>
      <c r="E120">
        <v>855.3299999999999</v>
      </c>
      <c r="F120">
        <v>9408.63</v>
      </c>
      <c r="G120">
        <v>0.0002182638773231529</v>
      </c>
      <c r="I120" t="s">
        <v>134</v>
      </c>
      <c r="J120">
        <v>0</v>
      </c>
      <c r="K120">
        <v>0</v>
      </c>
      <c r="M120">
        <v>0</v>
      </c>
      <c r="N120">
        <v>0</v>
      </c>
      <c r="O120" t="s">
        <v>30</v>
      </c>
    </row>
    <row r="121" spans="2:15" x14ac:dyDescent="0.25">
      <c r="B121" t="s">
        <v>137</v>
      </c>
      <c r="C121" t="s">
        <v>90</v>
      </c>
      <c r="D121">
        <v>141</v>
      </c>
      <c r="E121">
        <v>53.470000000000006</v>
      </c>
      <c r="F121">
        <v>7539.27</v>
      </c>
      <c r="G121">
        <v>0.00017489797158418678</v>
      </c>
      <c r="I121" t="s">
        <v>90</v>
      </c>
      <c r="J121">
        <v>0</v>
      </c>
      <c r="K121">
        <v>0</v>
      </c>
      <c r="M121">
        <v>0</v>
      </c>
      <c r="N121">
        <v>0</v>
      </c>
      <c r="O121" t="s">
        <v>30</v>
      </c>
    </row>
    <row r="122" spans="2:15" x14ac:dyDescent="0.25">
      <c r="B122" t="s">
        <v>138</v>
      </c>
      <c r="C122" t="s">
        <v>90</v>
      </c>
      <c r="D122">
        <v>1</v>
      </c>
      <c r="E122">
        <v>213.84</v>
      </c>
      <c r="F122">
        <v>213.84</v>
      </c>
      <c r="G122">
        <v>0.000004960716653411073</v>
      </c>
      <c r="I122" t="s">
        <v>90</v>
      </c>
      <c r="J122">
        <v>0</v>
      </c>
      <c r="K122">
        <v>0</v>
      </c>
      <c r="M122">
        <f>K122+L122</f>
        <v>0</v>
      </c>
      <c r="N122">
        <f>M122/43106674.89</f>
        <v>0</v>
      </c>
      <c r="O122" t="s">
        <v>30</v>
      </c>
    </row>
    <row r="123" spans="1:15" x14ac:dyDescent="0.25">
      <c r="A123" t="s">
        <v>139</v>
      </c>
      <c r="B123" t="s">
        <v>140</v>
      </c>
      <c r="C123" t="s">
        <v>26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">
        <v>26</v>
      </c>
      <c r="J123">
        <v>0</v>
      </c>
      <c r="K123">
        <v>0</v>
      </c>
      <c r="M123">
        <v>0</v>
      </c>
      <c r="N123">
        <v>0</v>
      </c>
      <c r="O123" t="s">
        <v>30</v>
      </c>
    </row>
    <row r="124" spans="1:15" x14ac:dyDescent="0.25">
      <c r="A124" t="s">
        <v>141</v>
      </c>
      <c r="B124" t="s">
        <v>142</v>
      </c>
      <c r="C124" t="s">
        <v>26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">
        <v>26</v>
      </c>
      <c r="J124">
        <v>0</v>
      </c>
      <c r="K124">
        <v>0</v>
      </c>
      <c r="M124">
        <v>0</v>
      </c>
      <c r="N124">
        <v>0</v>
      </c>
      <c r="O124" t="s">
        <v>30</v>
      </c>
    </row>
    <row r="125" spans="1:15" x14ac:dyDescent="0.25">
      <c r="A125" t="s">
        <v>143</v>
      </c>
      <c r="B125" t="s">
        <v>144</v>
      </c>
      <c r="C125" t="s">
        <v>26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">
        <v>26</v>
      </c>
      <c r="J125">
        <v>0</v>
      </c>
      <c r="K125">
        <v>0</v>
      </c>
      <c r="M125">
        <f>K125+L125</f>
        <v>0</v>
      </c>
      <c r="N125">
        <f>M125/43106674.89</f>
        <v>0</v>
      </c>
      <c r="O125" t="s">
        <v>30</v>
      </c>
    </row>
    <row r="126" spans="1:15" x14ac:dyDescent="0.25">
      <c r="A126" t="s">
        <v>145</v>
      </c>
      <c r="B126" t="s">
        <v>146</v>
      </c>
      <c r="K126">
        <v>0</v>
      </c>
      <c r="M126">
        <f>K126+L126</f>
        <v>0</v>
      </c>
      <c r="N126">
        <f>M126/43106674.89</f>
        <v>0</v>
      </c>
    </row>
    <row r="127" spans="2:15" x14ac:dyDescent="0.25">
      <c r="B127" t="s">
        <v>147</v>
      </c>
      <c r="C127" t="s">
        <v>60</v>
      </c>
      <c r="D127">
        <v>3</v>
      </c>
      <c r="E127">
        <v>741057.71</v>
      </c>
      <c r="F127">
        <v>2223173.13</v>
      </c>
      <c r="G127">
        <v>0.05157375593624682</v>
      </c>
      <c r="I127" t="s">
        <v>60</v>
      </c>
      <c r="J127">
        <v>0</v>
      </c>
      <c r="K127">
        <v>0</v>
      </c>
      <c r="M127">
        <f>K127+L127</f>
        <v>0</v>
      </c>
      <c r="N127">
        <f>M127/43106674.89</f>
        <v>0</v>
      </c>
      <c r="O127" t="s">
        <v>30</v>
      </c>
    </row>
    <row r="128" spans="2:15" x14ac:dyDescent="0.25">
      <c r="B128" t="s">
        <v>148</v>
      </c>
      <c r="C128" t="s">
        <v>60</v>
      </c>
      <c r="D128">
        <v>10</v>
      </c>
      <c r="E128">
        <v>55087.340000000004</v>
      </c>
      <c r="F128">
        <v>550873.4</v>
      </c>
      <c r="G128">
        <v>0.01277930625374663</v>
      </c>
      <c r="I128" t="s">
        <v>60</v>
      </c>
      <c r="J128">
        <v>0</v>
      </c>
      <c r="K128">
        <v>0</v>
      </c>
      <c r="M128">
        <f>K128+L128</f>
        <v>0</v>
      </c>
      <c r="N128">
        <f>M128/43106674.89</f>
        <v>0</v>
      </c>
      <c r="O128" t="s">
        <v>30</v>
      </c>
    </row>
    <row r="129" spans="2:15" x14ac:dyDescent="0.25">
      <c r="B129" t="s">
        <v>149</v>
      </c>
      <c r="C129" t="s">
        <v>60</v>
      </c>
      <c r="D129">
        <v>2</v>
      </c>
      <c r="E129">
        <v>56222.86</v>
      </c>
      <c r="F129">
        <v>112445.72</v>
      </c>
      <c r="G129">
        <v>0.0026085454349457473</v>
      </c>
      <c r="I129" t="s">
        <v>60</v>
      </c>
      <c r="J129">
        <v>0</v>
      </c>
      <c r="K129">
        <v>0</v>
      </c>
      <c r="M129">
        <f>K129+L129</f>
        <v>0</v>
      </c>
      <c r="N129">
        <f>M129/43106674.89</f>
        <v>0</v>
      </c>
      <c r="O129" t="s">
        <v>30</v>
      </c>
    </row>
    <row r="130" spans="2:15" x14ac:dyDescent="0.25">
      <c r="B130" t="s">
        <v>150</v>
      </c>
      <c r="C130" t="s">
        <v>60</v>
      </c>
      <c r="D130">
        <v>1</v>
      </c>
      <c r="E130">
        <v>87530.69</v>
      </c>
      <c r="F130">
        <v>87530.69</v>
      </c>
      <c r="G130">
        <v>0.0020305600054599795</v>
      </c>
      <c r="I130" t="s">
        <v>60</v>
      </c>
      <c r="J130">
        <v>0</v>
      </c>
      <c r="K130">
        <v>0</v>
      </c>
      <c r="M130">
        <v>0</v>
      </c>
      <c r="N130">
        <v>0</v>
      </c>
      <c r="O130" t="s">
        <v>30</v>
      </c>
    </row>
    <row r="131" spans="2:15" x14ac:dyDescent="0.25">
      <c r="B131" t="s">
        <v>64</v>
      </c>
    </row>
    <row r="132" spans="2:15" x14ac:dyDescent="0.25">
      <c r="B132" t="s">
        <v>151</v>
      </c>
      <c r="C132" t="s">
        <v>60</v>
      </c>
      <c r="D132">
        <v>13</v>
      </c>
      <c r="E132">
        <v>11760.720000000001</v>
      </c>
      <c r="F132">
        <v>152889.36000000002</v>
      </c>
      <c r="G132">
        <v>0.003546767650025069</v>
      </c>
      <c r="I132" t="s">
        <v>60</v>
      </c>
      <c r="K132">
        <v>0</v>
      </c>
      <c r="M132">
        <v>0</v>
      </c>
      <c r="N132">
        <v>0</v>
      </c>
      <c r="O132" t="s">
        <v>30</v>
      </c>
    </row>
    <row r="133" spans="2:15" x14ac:dyDescent="0.25">
      <c r="B133" t="s">
        <v>66</v>
      </c>
      <c r="C133" t="s">
        <v>60</v>
      </c>
      <c r="D133">
        <v>1</v>
      </c>
      <c r="E133">
        <v>22345.370000000003</v>
      </c>
      <c r="F133">
        <v>22345.370000000003</v>
      </c>
      <c r="G133">
        <v>0.0005183737798617293</v>
      </c>
      <c r="I133" t="s">
        <v>60</v>
      </c>
      <c r="J133">
        <v>0</v>
      </c>
      <c r="K133">
        <v>0</v>
      </c>
      <c r="M133">
        <f>K133+L133</f>
        <v>0</v>
      </c>
      <c r="N133">
        <f>M133/43106674.89</f>
        <v>0</v>
      </c>
      <c r="O133" t="s">
        <v>30</v>
      </c>
    </row>
    <row r="134" spans="2:15" x14ac:dyDescent="0.25">
      <c r="B134" t="s">
        <v>67</v>
      </c>
      <c r="C134" t="s">
        <v>60</v>
      </c>
      <c r="D134">
        <v>6</v>
      </c>
      <c r="E134">
        <v>4351.47</v>
      </c>
      <c r="F134">
        <v>26108.82</v>
      </c>
      <c r="G134">
        <v>0.0006056792843944635</v>
      </c>
      <c r="I134" t="s">
        <v>60</v>
      </c>
      <c r="J134">
        <v>0</v>
      </c>
      <c r="K134">
        <v>0</v>
      </c>
      <c r="M134">
        <f>K134+L134</f>
        <v>0</v>
      </c>
      <c r="N134">
        <f>M134/43106674.89</f>
        <v>0</v>
      </c>
      <c r="O134" t="s">
        <v>30</v>
      </c>
    </row>
    <row r="135" spans="2:15" x14ac:dyDescent="0.25">
      <c r="B135" t="s">
        <v>68</v>
      </c>
      <c r="C135" t="s">
        <v>60</v>
      </c>
      <c r="D135">
        <v>1</v>
      </c>
      <c r="E135">
        <v>4939.510000000001</v>
      </c>
      <c r="F135">
        <v>4939.510000000001</v>
      </c>
      <c r="G135">
        <v>0.00011458805423068899</v>
      </c>
      <c r="I135" t="s">
        <v>60</v>
      </c>
      <c r="J135">
        <v>0</v>
      </c>
      <c r="K135">
        <v>0</v>
      </c>
      <c r="M135">
        <f>K135+L135</f>
        <v>0</v>
      </c>
      <c r="N135">
        <f>M135/43106674.89</f>
        <v>0</v>
      </c>
      <c r="O135" t="s">
        <v>30</v>
      </c>
    </row>
    <row r="136" spans="2:15" x14ac:dyDescent="0.25">
      <c r="B136" t="s">
        <v>152</v>
      </c>
      <c r="C136" t="s">
        <v>60</v>
      </c>
      <c r="D136">
        <v>3</v>
      </c>
      <c r="E136">
        <v>8232.51</v>
      </c>
      <c r="F136">
        <v>24697.53</v>
      </c>
      <c r="G136">
        <v>0.0005729398071881761</v>
      </c>
      <c r="I136" t="s">
        <v>60</v>
      </c>
      <c r="J136">
        <v>0</v>
      </c>
      <c r="K136">
        <v>0</v>
      </c>
      <c r="M136">
        <v>0</v>
      </c>
      <c r="N136">
        <v>0</v>
      </c>
      <c r="O136" t="s">
        <v>30</v>
      </c>
    </row>
    <row r="137" spans="2:15" x14ac:dyDescent="0.25">
      <c r="B137" t="s">
        <v>153</v>
      </c>
      <c r="C137" t="s">
        <v>60</v>
      </c>
      <c r="D137">
        <v>2</v>
      </c>
      <c r="E137">
        <v>14112.869999999999</v>
      </c>
      <c r="F137">
        <v>28225.739999999998</v>
      </c>
      <c r="G137">
        <v>0.0006547881522299432</v>
      </c>
      <c r="I137" t="s">
        <v>60</v>
      </c>
      <c r="J137">
        <v>0</v>
      </c>
      <c r="K137">
        <v>0</v>
      </c>
      <c r="M137">
        <f>K137+L137</f>
        <v>0</v>
      </c>
      <c r="N137">
        <f>M137/43106674.89</f>
        <v>0</v>
      </c>
      <c r="O137" t="s">
        <v>30</v>
      </c>
    </row>
    <row r="138" spans="2:15" x14ac:dyDescent="0.25">
      <c r="B138" t="s">
        <v>71</v>
      </c>
      <c r="C138" t="s">
        <v>60</v>
      </c>
      <c r="D138">
        <v>2</v>
      </c>
      <c r="E138">
        <v>5997.97</v>
      </c>
      <c r="F138">
        <v>11995.94</v>
      </c>
      <c r="G138">
        <v>0.0002782849762968576</v>
      </c>
      <c r="I138" t="s">
        <v>60</v>
      </c>
      <c r="J138">
        <v>0</v>
      </c>
      <c r="K138">
        <v>0</v>
      </c>
      <c r="M138">
        <f>K138+L138</f>
        <v>0</v>
      </c>
      <c r="N138">
        <f>M138/43106674.89</f>
        <v>0</v>
      </c>
      <c r="O138" t="s">
        <v>30</v>
      </c>
    </row>
    <row r="139" spans="2:15" x14ac:dyDescent="0.25">
      <c r="B139" t="s">
        <v>72</v>
      </c>
      <c r="C139" t="s">
        <v>60</v>
      </c>
      <c r="D139">
        <v>1</v>
      </c>
      <c r="E139">
        <v>39751.22</v>
      </c>
      <c r="F139">
        <v>39751.22</v>
      </c>
      <c r="G139">
        <v>0.0009221592735101353</v>
      </c>
      <c r="I139" t="s">
        <v>60</v>
      </c>
      <c r="J139">
        <v>0</v>
      </c>
      <c r="K139">
        <v>0</v>
      </c>
      <c r="M139">
        <f>K139+L139</f>
        <v>0</v>
      </c>
      <c r="N139">
        <f>M139/43106674.89</f>
        <v>0</v>
      </c>
      <c r="O139" t="s">
        <v>30</v>
      </c>
    </row>
    <row r="140" spans="2:15" x14ac:dyDescent="0.25">
      <c r="B140" t="s">
        <v>73</v>
      </c>
      <c r="K140">
        <v>0</v>
      </c>
      <c r="M140">
        <f>K140+L140</f>
        <v>0</v>
      </c>
      <c r="N140">
        <f>M140/43106674.89</f>
        <v>0</v>
      </c>
    </row>
    <row r="141" spans="2:15" x14ac:dyDescent="0.25">
      <c r="B141" t="s">
        <v>74</v>
      </c>
      <c r="C141" t="s">
        <v>75</v>
      </c>
      <c r="D141">
        <v>14</v>
      </c>
      <c r="E141">
        <v>2120.3300000000004</v>
      </c>
      <c r="F141">
        <v>29684.620000000006</v>
      </c>
      <c r="G141">
        <v>0.0006886316347932072</v>
      </c>
      <c r="I141" t="s">
        <v>75</v>
      </c>
      <c r="J141">
        <v>0</v>
      </c>
      <c r="K141">
        <v>0</v>
      </c>
      <c r="M141">
        <v>0</v>
      </c>
      <c r="N141">
        <v>0</v>
      </c>
      <c r="O141" t="s">
        <v>30</v>
      </c>
    </row>
    <row r="142" spans="2:15" x14ac:dyDescent="0.25">
      <c r="B142" t="s">
        <v>76</v>
      </c>
      <c r="C142" t="s">
        <v>75</v>
      </c>
      <c r="D142">
        <v>11</v>
      </c>
      <c r="E142">
        <v>2952.3500000000004</v>
      </c>
      <c r="F142">
        <v>32475.850000000006</v>
      </c>
      <c r="G142">
        <v>0.000753383323647026</v>
      </c>
      <c r="I142" t="s">
        <v>75</v>
      </c>
      <c r="J142">
        <v>0</v>
      </c>
      <c r="K142">
        <v>0</v>
      </c>
      <c r="M142">
        <f>K142+L142</f>
        <v>0</v>
      </c>
      <c r="N142">
        <f>M142/43106674.89</f>
        <v>0</v>
      </c>
      <c r="O142" t="s">
        <v>30</v>
      </c>
    </row>
    <row r="143" spans="2:15" x14ac:dyDescent="0.25">
      <c r="B143" t="s">
        <v>77</v>
      </c>
      <c r="C143" t="s">
        <v>75</v>
      </c>
      <c r="D143">
        <v>15</v>
      </c>
      <c r="E143">
        <v>4696.92</v>
      </c>
      <c r="F143">
        <v>70453.8</v>
      </c>
      <c r="G143">
        <v>0.0016344058125518754</v>
      </c>
      <c r="I143" t="s">
        <v>75</v>
      </c>
      <c r="J143">
        <v>0</v>
      </c>
      <c r="K143">
        <v>0</v>
      </c>
      <c r="M143">
        <f>K143+L143</f>
        <v>0</v>
      </c>
      <c r="N143">
        <f>M143/43106674.89</f>
        <v>0</v>
      </c>
      <c r="O143" t="s">
        <v>30</v>
      </c>
    </row>
    <row r="144" spans="2:15" x14ac:dyDescent="0.25">
      <c r="B144" t="s">
        <v>78</v>
      </c>
      <c r="C144" t="s">
        <v>75</v>
      </c>
      <c r="D144">
        <v>12</v>
      </c>
      <c r="E144">
        <v>6775.95</v>
      </c>
      <c r="F144">
        <v>81311.4</v>
      </c>
      <c r="G144">
        <v>0.0018862832776476294</v>
      </c>
      <c r="I144" t="s">
        <v>75</v>
      </c>
      <c r="J144">
        <v>0</v>
      </c>
      <c r="K144">
        <v>0</v>
      </c>
      <c r="M144">
        <v>0</v>
      </c>
      <c r="N144">
        <v>0</v>
      </c>
      <c r="O144" t="s">
        <v>30</v>
      </c>
    </row>
    <row r="145" spans="2:15" x14ac:dyDescent="0.25">
      <c r="B145" t="s">
        <v>79</v>
      </c>
      <c r="C145" t="s">
        <v>75</v>
      </c>
      <c r="D145">
        <v>13</v>
      </c>
      <c r="E145">
        <v>8642.33</v>
      </c>
      <c r="F145">
        <v>112350.29</v>
      </c>
      <c r="G145">
        <v>0.002606331624665935</v>
      </c>
      <c r="I145" t="s">
        <v>75</v>
      </c>
      <c r="J145">
        <v>0</v>
      </c>
      <c r="K145">
        <v>0</v>
      </c>
      <c r="M145">
        <v>0</v>
      </c>
      <c r="N145">
        <v>0</v>
      </c>
      <c r="O145" t="s">
        <v>30</v>
      </c>
    </row>
    <row r="146" spans="2:15" x14ac:dyDescent="0.25">
      <c r="B146" t="s">
        <v>80</v>
      </c>
      <c r="C146" t="s">
        <v>75</v>
      </c>
      <c r="D146">
        <v>1</v>
      </c>
      <c r="E146">
        <v>10870.01</v>
      </c>
      <c r="F146">
        <v>10870.01</v>
      </c>
      <c r="G146">
        <v>0.0002521653555450098</v>
      </c>
      <c r="I146" t="s">
        <v>75</v>
      </c>
      <c r="J146">
        <v>0</v>
      </c>
      <c r="K146">
        <v>0</v>
      </c>
      <c r="M146">
        <f>K146+L146</f>
        <v>0</v>
      </c>
      <c r="N146">
        <f>M146/43106674.89</f>
        <v>0</v>
      </c>
      <c r="O146" t="s">
        <v>30</v>
      </c>
    </row>
    <row r="147" spans="2:15" x14ac:dyDescent="0.25">
      <c r="B147" t="s">
        <v>81</v>
      </c>
      <c r="C147" t="s">
        <v>75</v>
      </c>
      <c r="D147">
        <v>5</v>
      </c>
      <c r="E147">
        <v>15566.920000000002</v>
      </c>
      <c r="F147">
        <v>77834.6</v>
      </c>
      <c r="G147">
        <v>0.0018056275553291693</v>
      </c>
      <c r="I147" t="s">
        <v>75</v>
      </c>
      <c r="J147">
        <v>0</v>
      </c>
      <c r="K147">
        <v>0</v>
      </c>
      <c r="M147">
        <f>K147+L147</f>
        <v>0</v>
      </c>
      <c r="N147">
        <f>M147/43106674.89</f>
        <v>0</v>
      </c>
      <c r="O147" t="s">
        <v>30</v>
      </c>
    </row>
    <row r="148" spans="2:15" x14ac:dyDescent="0.25">
      <c r="B148" t="s">
        <v>82</v>
      </c>
      <c r="C148" t="s">
        <v>75</v>
      </c>
      <c r="D148">
        <v>1</v>
      </c>
      <c r="E148">
        <v>27039.769999999997</v>
      </c>
      <c r="F148">
        <v>27039.769999999997</v>
      </c>
      <c r="G148">
        <v>0.0006272757077413258</v>
      </c>
      <c r="I148" t="s">
        <v>75</v>
      </c>
      <c r="J148">
        <v>0</v>
      </c>
      <c r="K148">
        <v>0</v>
      </c>
      <c r="M148">
        <f>K148+L148</f>
        <v>0</v>
      </c>
      <c r="N148">
        <f>M148/43106674.89</f>
        <v>0</v>
      </c>
      <c r="O148" t="s">
        <v>30</v>
      </c>
    </row>
    <row r="149" spans="2:15" x14ac:dyDescent="0.25">
      <c r="B149" t="s">
        <v>83</v>
      </c>
      <c r="C149" t="s">
        <v>75</v>
      </c>
      <c r="D149">
        <v>12</v>
      </c>
      <c r="E149">
        <v>27039.77</v>
      </c>
      <c r="F149">
        <v>324477.24</v>
      </c>
      <c r="G149">
        <v>0.00752730849289591</v>
      </c>
      <c r="I149" t="s">
        <v>75</v>
      </c>
      <c r="J149">
        <v>0</v>
      </c>
      <c r="K149">
        <v>0</v>
      </c>
      <c r="M149">
        <f>K149+L149</f>
        <v>0</v>
      </c>
      <c r="N149">
        <f>M149/43106674.89</f>
        <v>0</v>
      </c>
      <c r="O149" t="s">
        <v>30</v>
      </c>
    </row>
    <row r="150" spans="2:15" x14ac:dyDescent="0.25">
      <c r="B150" t="s">
        <v>84</v>
      </c>
      <c r="K150">
        <v>0</v>
      </c>
      <c r="M150">
        <f>K150+L150</f>
        <v>0</v>
      </c>
      <c r="N150">
        <f>M150/43106674.89</f>
        <v>0</v>
      </c>
    </row>
    <row r="151" spans="2:15" x14ac:dyDescent="0.25">
      <c r="B151" t="s">
        <v>74</v>
      </c>
      <c r="C151" t="s">
        <v>75</v>
      </c>
      <c r="D151">
        <v>27</v>
      </c>
      <c r="E151">
        <v>433.57</v>
      </c>
      <c r="F151">
        <v>11706.39</v>
      </c>
      <c r="G151">
        <v>0.000271567919118616</v>
      </c>
      <c r="I151" t="s">
        <v>75</v>
      </c>
      <c r="J151">
        <v>0</v>
      </c>
      <c r="K151">
        <v>0</v>
      </c>
      <c r="M151">
        <f>K151+L151</f>
        <v>0</v>
      </c>
      <c r="N151">
        <f>M151/43106674.89</f>
        <v>0</v>
      </c>
      <c r="O151" t="s">
        <v>30</v>
      </c>
    </row>
    <row r="152" spans="2:15" x14ac:dyDescent="0.25">
      <c r="B152" t="s">
        <v>76</v>
      </c>
      <c r="C152" t="s">
        <v>75</v>
      </c>
      <c r="D152">
        <v>21</v>
      </c>
      <c r="E152">
        <v>441.8299999999999</v>
      </c>
      <c r="F152">
        <v>9278.429999999998</v>
      </c>
      <c r="G152">
        <v>0.0002152434634236293</v>
      </c>
      <c r="I152" t="s">
        <v>75</v>
      </c>
      <c r="J152">
        <v>0</v>
      </c>
      <c r="K152">
        <v>0</v>
      </c>
      <c r="M152">
        <f>K152+L152</f>
        <v>0</v>
      </c>
      <c r="N152">
        <f>M152/43106674.89</f>
        <v>0</v>
      </c>
      <c r="O152" t="s">
        <v>30</v>
      </c>
    </row>
    <row r="153" spans="2:15" x14ac:dyDescent="0.25">
      <c r="B153" t="s">
        <v>77</v>
      </c>
      <c r="C153" t="s">
        <v>75</v>
      </c>
      <c r="D153">
        <v>30</v>
      </c>
      <c r="E153">
        <v>516.15</v>
      </c>
      <c r="F153">
        <v>15484.5</v>
      </c>
      <c r="G153">
        <v>0.0003592135101933397</v>
      </c>
      <c r="I153" t="s">
        <v>75</v>
      </c>
      <c r="J153">
        <v>0</v>
      </c>
      <c r="K153">
        <v>0</v>
      </c>
      <c r="M153">
        <f>K153+L153</f>
        <v>0</v>
      </c>
      <c r="N153">
        <f>M153/43106674.89</f>
        <v>0</v>
      </c>
      <c r="O153" t="s">
        <v>30</v>
      </c>
    </row>
    <row r="154" spans="2:15" x14ac:dyDescent="0.25">
      <c r="B154" t="s">
        <v>78</v>
      </c>
      <c r="C154" t="s">
        <v>75</v>
      </c>
      <c r="D154">
        <v>24</v>
      </c>
      <c r="E154">
        <v>629.71</v>
      </c>
      <c r="F154">
        <v>15113.04</v>
      </c>
      <c r="G154">
        <v>0.000350596283256957</v>
      </c>
      <c r="I154" t="s">
        <v>75</v>
      </c>
      <c r="J154">
        <v>0</v>
      </c>
      <c r="K154">
        <v>0</v>
      </c>
      <c r="M154">
        <f>K154+L154</f>
        <v>0</v>
      </c>
      <c r="N154">
        <f>M154/43106674.89</f>
        <v>0</v>
      </c>
      <c r="O154" t="s">
        <v>30</v>
      </c>
    </row>
    <row r="155" spans="2:15" x14ac:dyDescent="0.25">
      <c r="B155" t="s">
        <v>79</v>
      </c>
      <c r="C155" t="s">
        <v>75</v>
      </c>
      <c r="D155">
        <v>26</v>
      </c>
      <c r="E155">
        <v>708.16</v>
      </c>
      <c r="F155">
        <v>18412.16</v>
      </c>
      <c r="G155">
        <v>0.00042713013812789563</v>
      </c>
      <c r="I155" t="s">
        <v>75</v>
      </c>
      <c r="J155">
        <v>0</v>
      </c>
      <c r="K155">
        <v>0</v>
      </c>
      <c r="M155">
        <f>K155+L155</f>
        <v>0</v>
      </c>
      <c r="N155">
        <f>M155/43106674.89</f>
        <v>0</v>
      </c>
      <c r="O155" t="s">
        <v>30</v>
      </c>
    </row>
    <row r="156" spans="2:15" x14ac:dyDescent="0.25">
      <c r="B156" t="s">
        <v>80</v>
      </c>
      <c r="C156" t="s">
        <v>75</v>
      </c>
      <c r="D156">
        <v>2</v>
      </c>
      <c r="E156">
        <v>784.55</v>
      </c>
      <c r="F156">
        <v>1569.1</v>
      </c>
      <c r="G156">
        <v>0.00003640039515931217</v>
      </c>
      <c r="I156" t="s">
        <v>75</v>
      </c>
      <c r="J156">
        <v>0</v>
      </c>
      <c r="K156">
        <v>0</v>
      </c>
      <c r="M156">
        <f>K156+L156</f>
        <v>0</v>
      </c>
      <c r="N156">
        <f>M156/43106674.89</f>
        <v>0</v>
      </c>
      <c r="O156" t="s">
        <v>30</v>
      </c>
    </row>
    <row r="157" spans="2:15" x14ac:dyDescent="0.25">
      <c r="B157" t="s">
        <v>81</v>
      </c>
      <c r="C157" t="s">
        <v>75</v>
      </c>
      <c r="D157">
        <v>9</v>
      </c>
      <c r="E157">
        <v>846.49</v>
      </c>
      <c r="F157">
        <v>7618.41</v>
      </c>
      <c r="G157">
        <v>0.00017673388215260687</v>
      </c>
      <c r="I157" t="s">
        <v>75</v>
      </c>
      <c r="J157">
        <v>0</v>
      </c>
      <c r="K157">
        <v>0</v>
      </c>
      <c r="M157">
        <f>K157+L157</f>
        <v>0</v>
      </c>
      <c r="N157">
        <f>M157/43106674.89</f>
        <v>0</v>
      </c>
      <c r="O157" t="s">
        <v>30</v>
      </c>
    </row>
    <row r="158" spans="2:15" x14ac:dyDescent="0.25">
      <c r="B158" t="s">
        <v>82</v>
      </c>
      <c r="C158" t="s">
        <v>75</v>
      </c>
      <c r="D158">
        <v>2</v>
      </c>
      <c r="E158">
        <v>1011.6600000000001</v>
      </c>
      <c r="F158">
        <v>2023.3200000000002</v>
      </c>
      <c r="G158">
        <v>0.000046937510377757636</v>
      </c>
      <c r="I158" t="s">
        <v>75</v>
      </c>
      <c r="J158">
        <v>0</v>
      </c>
      <c r="K158">
        <v>0</v>
      </c>
      <c r="M158">
        <f>K158+L158</f>
        <v>0</v>
      </c>
      <c r="N158">
        <f>M158/43106674.89</f>
        <v>0</v>
      </c>
      <c r="O158" t="s">
        <v>30</v>
      </c>
    </row>
    <row r="159" spans="2:15" x14ac:dyDescent="0.25">
      <c r="B159" t="s">
        <v>83</v>
      </c>
      <c r="C159" t="s">
        <v>75</v>
      </c>
      <c r="D159">
        <v>24</v>
      </c>
      <c r="E159">
        <v>1011.66</v>
      </c>
      <c r="F159">
        <v>24279.84</v>
      </c>
      <c r="G159">
        <v>0.0005632501245330916</v>
      </c>
      <c r="I159" t="s">
        <v>75</v>
      </c>
      <c r="J159">
        <v>0</v>
      </c>
      <c r="K159">
        <v>0</v>
      </c>
      <c r="M159">
        <f>K159+L159</f>
        <v>0</v>
      </c>
      <c r="N159">
        <f>M159/43106674.89</f>
        <v>0</v>
      </c>
      <c r="O159" t="s">
        <v>30</v>
      </c>
    </row>
    <row r="160" spans="2:15" x14ac:dyDescent="0.25">
      <c r="B160" t="s">
        <v>85</v>
      </c>
      <c r="C160" t="s">
        <v>26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">
        <v>26</v>
      </c>
      <c r="J160">
        <v>0</v>
      </c>
      <c r="K160">
        <v>0</v>
      </c>
      <c r="M160">
        <v>0</v>
      </c>
      <c r="N160">
        <v>0</v>
      </c>
      <c r="O160" t="s">
        <v>30</v>
      </c>
    </row>
    <row r="161" spans="2:15" x14ac:dyDescent="0.25">
      <c r="B161" t="s">
        <v>86</v>
      </c>
      <c r="C161" t="s">
        <v>87</v>
      </c>
      <c r="D161">
        <v>26</v>
      </c>
      <c r="E161">
        <v>3207.48</v>
      </c>
      <c r="F161">
        <v>83394.48</v>
      </c>
      <c r="G161">
        <v>0.001934607116248394</v>
      </c>
      <c r="I161" t="s">
        <v>87</v>
      </c>
      <c r="J161">
        <v>0</v>
      </c>
      <c r="K161">
        <v>0</v>
      </c>
      <c r="M161">
        <f>K161+L161</f>
        <v>0</v>
      </c>
      <c r="N161">
        <f>M161/43106674.89</f>
        <v>0</v>
      </c>
      <c r="O161" t="s">
        <v>30</v>
      </c>
    </row>
    <row r="162" spans="2:15" x14ac:dyDescent="0.25">
      <c r="B162" t="s">
        <v>88</v>
      </c>
      <c r="C162" t="s">
        <v>26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">
        <v>26</v>
      </c>
      <c r="J162">
        <v>0</v>
      </c>
      <c r="K162">
        <v>0</v>
      </c>
      <c r="M162">
        <v>0</v>
      </c>
      <c r="N162">
        <v>0</v>
      </c>
      <c r="O162" t="s">
        <v>30</v>
      </c>
    </row>
    <row r="163" spans="2:15" x14ac:dyDescent="0.25">
      <c r="B163" t="s">
        <v>89</v>
      </c>
      <c r="C163" t="s">
        <v>90</v>
      </c>
      <c r="D163">
        <v>3</v>
      </c>
      <c r="E163">
        <v>9622.41</v>
      </c>
      <c r="F163">
        <v>28867.23</v>
      </c>
      <c r="G163">
        <v>0.0006696696062422733</v>
      </c>
      <c r="I163" t="s">
        <v>90</v>
      </c>
      <c r="J163">
        <v>0</v>
      </c>
      <c r="K163">
        <v>0</v>
      </c>
      <c r="M163">
        <f>K163+L163</f>
        <v>0</v>
      </c>
      <c r="N163">
        <f>M163/43106674.89</f>
        <v>0</v>
      </c>
      <c r="O163" t="s">
        <v>30</v>
      </c>
    </row>
    <row r="164" spans="2:15" x14ac:dyDescent="0.25">
      <c r="B164" t="s">
        <v>91</v>
      </c>
    </row>
    <row r="165" spans="2:15" x14ac:dyDescent="0.25">
      <c r="B165" t="s">
        <v>92</v>
      </c>
      <c r="C165" t="s">
        <v>75</v>
      </c>
      <c r="D165">
        <v>37</v>
      </c>
      <c r="E165">
        <v>404.15</v>
      </c>
      <c r="F165">
        <v>14953.55</v>
      </c>
      <c r="G165">
        <v>0.0003468963922213578</v>
      </c>
      <c r="I165" t="s">
        <v>75</v>
      </c>
      <c r="J165">
        <v>0</v>
      </c>
      <c r="K165">
        <v>0</v>
      </c>
      <c r="M165">
        <f>K165+L165</f>
        <v>0</v>
      </c>
      <c r="N165">
        <f>M165/43106674.89</f>
        <v>0</v>
      </c>
      <c r="O165" t="s">
        <v>30</v>
      </c>
    </row>
    <row r="166" spans="2:15" x14ac:dyDescent="0.25">
      <c r="B166" t="s">
        <v>93</v>
      </c>
      <c r="C166" t="s">
        <v>75</v>
      </c>
      <c r="D166">
        <v>24</v>
      </c>
      <c r="E166">
        <v>641.8299999999999</v>
      </c>
      <c r="F166">
        <v>15403.919999999998</v>
      </c>
      <c r="G166">
        <v>0.0003573441941255699</v>
      </c>
      <c r="I166" t="s">
        <v>75</v>
      </c>
      <c r="J166">
        <v>0</v>
      </c>
      <c r="K166">
        <v>0</v>
      </c>
      <c r="M166">
        <v>0</v>
      </c>
      <c r="N166">
        <v>0</v>
      </c>
      <c r="O166" t="s">
        <v>30</v>
      </c>
    </row>
    <row r="167" spans="2:15" x14ac:dyDescent="0.25">
      <c r="B167" t="s">
        <v>94</v>
      </c>
    </row>
    <row r="168" spans="2:15" x14ac:dyDescent="0.25">
      <c r="B168" t="s">
        <v>95</v>
      </c>
      <c r="C168" t="s">
        <v>75</v>
      </c>
      <c r="D168">
        <v>74</v>
      </c>
      <c r="E168">
        <v>427.66999999999996</v>
      </c>
      <c r="F168">
        <v>31647.579999999998</v>
      </c>
      <c r="G168">
        <v>0.0007341688979898952</v>
      </c>
      <c r="I168" t="s">
        <v>75</v>
      </c>
      <c r="J168">
        <v>0</v>
      </c>
      <c r="K168">
        <v>0</v>
      </c>
      <c r="M168">
        <f>K168+L168</f>
        <v>0</v>
      </c>
      <c r="N168">
        <f>M168/43106674.89</f>
        <v>0</v>
      </c>
      <c r="O168" t="s">
        <v>30</v>
      </c>
    </row>
    <row r="169" spans="2:15" x14ac:dyDescent="0.25">
      <c r="B169" t="s">
        <v>96</v>
      </c>
      <c r="C169" t="s">
        <v>75</v>
      </c>
      <c r="D169">
        <v>48</v>
      </c>
      <c r="E169">
        <v>812.5699999999998</v>
      </c>
      <c r="F169">
        <v>39003.35999999999</v>
      </c>
      <c r="G169">
        <v>0.0009048102202159898</v>
      </c>
      <c r="I169" t="s">
        <v>75</v>
      </c>
      <c r="J169">
        <v>0</v>
      </c>
      <c r="K169">
        <v>0</v>
      </c>
      <c r="M169">
        <f>K169+L169</f>
        <v>0</v>
      </c>
      <c r="N169">
        <f>M169/43106674.89</f>
        <v>0</v>
      </c>
      <c r="O169" t="s">
        <v>30</v>
      </c>
    </row>
    <row r="170" spans="2:15" x14ac:dyDescent="0.25">
      <c r="B170" t="s">
        <v>97</v>
      </c>
      <c r="K170">
        <v>0</v>
      </c>
      <c r="M170">
        <f>K170+L170</f>
        <v>0</v>
      </c>
      <c r="N170">
        <f>M170/43106674.89</f>
        <v>0</v>
      </c>
    </row>
    <row r="171" spans="2:15" x14ac:dyDescent="0.25">
      <c r="B171" t="s">
        <v>98</v>
      </c>
      <c r="C171" t="s">
        <v>90</v>
      </c>
      <c r="D171">
        <v>12</v>
      </c>
      <c r="E171">
        <v>30473.16</v>
      </c>
      <c r="F171">
        <v>365677.92</v>
      </c>
      <c r="G171">
        <v>0.008483092721327731</v>
      </c>
      <c r="I171" t="s">
        <v>90</v>
      </c>
      <c r="J171">
        <v>0</v>
      </c>
      <c r="K171">
        <v>0</v>
      </c>
      <c r="M171">
        <f>K171+L171</f>
        <v>0</v>
      </c>
      <c r="N171">
        <f>M171/43106674.89</f>
        <v>0</v>
      </c>
      <c r="O171" t="s">
        <v>30</v>
      </c>
    </row>
    <row r="172" spans="2:15" x14ac:dyDescent="0.25">
      <c r="B172" t="s">
        <v>99</v>
      </c>
    </row>
    <row r="173" spans="2:15" x14ac:dyDescent="0.25">
      <c r="B173" t="s">
        <v>154</v>
      </c>
      <c r="C173" t="s">
        <v>90</v>
      </c>
      <c r="D173">
        <v>3</v>
      </c>
      <c r="E173">
        <v>213.84</v>
      </c>
      <c r="F173">
        <v>641.52</v>
      </c>
      <c r="G173">
        <v>0.000014882149960233215</v>
      </c>
      <c r="I173" t="s">
        <v>90</v>
      </c>
      <c r="J173">
        <v>0</v>
      </c>
      <c r="K173">
        <v>0</v>
      </c>
      <c r="M173">
        <v>0</v>
      </c>
      <c r="N173">
        <v>0</v>
      </c>
      <c r="O173" t="s">
        <v>30</v>
      </c>
    </row>
    <row r="174" spans="2:15" x14ac:dyDescent="0.25">
      <c r="B174" t="s">
        <v>100</v>
      </c>
      <c r="C174" t="s">
        <v>90</v>
      </c>
      <c r="D174">
        <v>13</v>
      </c>
      <c r="E174">
        <v>192.45999999999998</v>
      </c>
      <c r="F174">
        <v>2501.9799999999996</v>
      </c>
      <c r="G174">
        <v>0.00005804159115460828</v>
      </c>
      <c r="I174" t="s">
        <v>90</v>
      </c>
      <c r="J174">
        <v>0</v>
      </c>
      <c r="K174">
        <v>0</v>
      </c>
      <c r="M174">
        <f>K174+L174</f>
        <v>0</v>
      </c>
      <c r="N174">
        <f>M174/43106674.89</f>
        <v>0</v>
      </c>
      <c r="O174" t="s">
        <v>30</v>
      </c>
    </row>
    <row r="175" spans="2:15" x14ac:dyDescent="0.25">
      <c r="B175" t="s">
        <v>101</v>
      </c>
      <c r="C175" t="s">
        <v>90</v>
      </c>
      <c r="D175">
        <v>3</v>
      </c>
      <c r="E175">
        <v>53.47</v>
      </c>
      <c r="F175">
        <v>160.41</v>
      </c>
      <c r="G175">
        <v>0.0000037212334379614206</v>
      </c>
      <c r="I175" t="s">
        <v>90</v>
      </c>
      <c r="J175">
        <v>0</v>
      </c>
      <c r="K175">
        <v>0</v>
      </c>
      <c r="M175">
        <f>K175+L175</f>
        <v>0</v>
      </c>
      <c r="N175">
        <f>M175/43106674.89</f>
        <v>0</v>
      </c>
      <c r="O175" t="s">
        <v>30</v>
      </c>
    </row>
    <row r="176" spans="2:15" x14ac:dyDescent="0.25">
      <c r="B176" t="s">
        <v>103</v>
      </c>
      <c r="C176" t="s">
        <v>90</v>
      </c>
      <c r="D176">
        <v>6</v>
      </c>
      <c r="E176">
        <v>43.629999999999995</v>
      </c>
      <c r="F176">
        <v>261.78</v>
      </c>
      <c r="G176">
        <v>0.00000607284140259049</v>
      </c>
      <c r="I176" t="s">
        <v>90</v>
      </c>
      <c r="J176">
        <v>0</v>
      </c>
      <c r="K176">
        <v>0</v>
      </c>
      <c r="M176">
        <f>K176+L176</f>
        <v>0</v>
      </c>
      <c r="N176">
        <f>M176/43106674.89</f>
        <v>0</v>
      </c>
      <c r="O176" t="s">
        <v>30</v>
      </c>
    </row>
    <row r="177" spans="2:15" x14ac:dyDescent="0.25">
      <c r="B177" t="s">
        <v>104</v>
      </c>
      <c r="C177" t="s">
        <v>90</v>
      </c>
      <c r="D177">
        <v>4</v>
      </c>
      <c r="E177">
        <v>213.84</v>
      </c>
      <c r="F177">
        <v>855.36</v>
      </c>
      <c r="G177">
        <v>0.00001984286661364429</v>
      </c>
      <c r="I177" t="s">
        <v>90</v>
      </c>
      <c r="J177">
        <v>0</v>
      </c>
      <c r="K177">
        <v>0</v>
      </c>
      <c r="M177">
        <f>K177+L177</f>
        <v>0</v>
      </c>
      <c r="N177">
        <f>M177/43106674.89</f>
        <v>0</v>
      </c>
      <c r="O177" t="s">
        <v>30</v>
      </c>
    </row>
    <row r="178" spans="2:15" x14ac:dyDescent="0.25">
      <c r="B178" t="s">
        <v>105</v>
      </c>
      <c r="K178">
        <v>0</v>
      </c>
      <c r="M178">
        <f>K178+L178</f>
        <v>0</v>
      </c>
      <c r="N178">
        <f>M178/43106674.89</f>
        <v>0</v>
      </c>
    </row>
    <row r="179" spans="2:15" x14ac:dyDescent="0.25">
      <c r="B179" t="s">
        <v>106</v>
      </c>
      <c r="K179">
        <v>0</v>
      </c>
      <c r="M179">
        <f>K179+L179</f>
        <v>0</v>
      </c>
      <c r="N179">
        <f>M179/43106674.89</f>
        <v>0</v>
      </c>
    </row>
    <row r="180" spans="2:15" x14ac:dyDescent="0.25">
      <c r="B180" t="s">
        <v>107</v>
      </c>
      <c r="C180" t="s">
        <v>108</v>
      </c>
      <c r="D180">
        <v>78</v>
      </c>
      <c r="E180">
        <v>404.15</v>
      </c>
      <c r="F180">
        <v>31523.699999999997</v>
      </c>
      <c r="G180">
        <v>0.0007312950971152947</v>
      </c>
      <c r="I180" t="s">
        <v>108</v>
      </c>
      <c r="J180">
        <v>0</v>
      </c>
      <c r="K180">
        <v>0</v>
      </c>
      <c r="M180">
        <f>K180+L180</f>
        <v>0</v>
      </c>
      <c r="N180">
        <f>M180/43106674.89</f>
        <v>0</v>
      </c>
      <c r="O180" t="s">
        <v>30</v>
      </c>
    </row>
    <row r="181" spans="2:15" x14ac:dyDescent="0.25">
      <c r="B181" t="s">
        <v>155</v>
      </c>
      <c r="C181" t="s">
        <v>108</v>
      </c>
      <c r="D181">
        <v>673</v>
      </c>
      <c r="E181">
        <v>65.87</v>
      </c>
      <c r="F181">
        <v>44330.51</v>
      </c>
      <c r="G181">
        <v>0.0010283908492854756</v>
      </c>
      <c r="I181" t="s">
        <v>108</v>
      </c>
      <c r="J181">
        <v>0</v>
      </c>
      <c r="K181">
        <v>0</v>
      </c>
      <c r="M181">
        <f>K181+L181</f>
        <v>0</v>
      </c>
      <c r="N181">
        <f>M181/43106674.89</f>
        <v>0</v>
      </c>
      <c r="O181" t="s">
        <v>30</v>
      </c>
    </row>
    <row r="182" spans="2:15" x14ac:dyDescent="0.25">
      <c r="B182" t="s">
        <v>110</v>
      </c>
      <c r="C182" t="s">
        <v>90</v>
      </c>
      <c r="D182">
        <v>34</v>
      </c>
      <c r="E182">
        <v>32.09</v>
      </c>
      <c r="F182">
        <v>1091.0600000000002</v>
      </c>
      <c r="G182">
        <v>0.000025310697305792582</v>
      </c>
      <c r="I182" t="s">
        <v>90</v>
      </c>
      <c r="J182">
        <v>0</v>
      </c>
      <c r="K182">
        <v>0</v>
      </c>
      <c r="M182">
        <v>0</v>
      </c>
      <c r="N182">
        <v>0</v>
      </c>
      <c r="O182" t="s">
        <v>30</v>
      </c>
    </row>
    <row r="183" spans="2:15" x14ac:dyDescent="0.25">
      <c r="B183" t="s">
        <v>111</v>
      </c>
    </row>
    <row r="184" spans="2:15" x14ac:dyDescent="0.25">
      <c r="B184" t="s">
        <v>112</v>
      </c>
      <c r="C184" t="s">
        <v>108</v>
      </c>
      <c r="D184">
        <v>482</v>
      </c>
      <c r="E184">
        <v>80.84</v>
      </c>
      <c r="F184">
        <v>38964.880000000005</v>
      </c>
      <c r="G184">
        <v>0.0009039175510389266</v>
      </c>
      <c r="I184" t="s">
        <v>108</v>
      </c>
      <c r="J184">
        <v>0</v>
      </c>
      <c r="K184">
        <v>0</v>
      </c>
      <c r="M184">
        <f>K184+L184</f>
        <v>0</v>
      </c>
      <c r="N184">
        <f>M184/43106674.89</f>
        <v>0</v>
      </c>
      <c r="O184" t="s">
        <v>30</v>
      </c>
    </row>
    <row r="185" spans="2:15" x14ac:dyDescent="0.25">
      <c r="B185" t="s">
        <v>113</v>
      </c>
      <c r="C185" t="s">
        <v>108</v>
      </c>
      <c r="D185">
        <v>94</v>
      </c>
      <c r="E185">
        <v>78.48</v>
      </c>
      <c r="F185">
        <v>7377.120000000001</v>
      </c>
      <c r="G185">
        <v>0.00017113637316784464</v>
      </c>
      <c r="I185" t="s">
        <v>108</v>
      </c>
      <c r="J185">
        <v>0</v>
      </c>
      <c r="K185">
        <v>0</v>
      </c>
      <c r="M185">
        <f>K185+L185</f>
        <v>0</v>
      </c>
      <c r="N185">
        <f>M185/43106674.89</f>
        <v>0</v>
      </c>
      <c r="O185" t="s">
        <v>30</v>
      </c>
    </row>
    <row r="186" spans="2:15" x14ac:dyDescent="0.25">
      <c r="B186" t="s">
        <v>114</v>
      </c>
      <c r="C186" t="s">
        <v>108</v>
      </c>
      <c r="D186">
        <v>13</v>
      </c>
      <c r="E186">
        <v>115.83000000000003</v>
      </c>
      <c r="F186">
        <v>1505.7900000000004</v>
      </c>
      <c r="G186">
        <v>0.00003493171310110298</v>
      </c>
      <c r="I186" t="s">
        <v>108</v>
      </c>
      <c r="J186">
        <v>0</v>
      </c>
      <c r="K186">
        <v>0</v>
      </c>
      <c r="M186">
        <f>K186+L186</f>
        <v>0</v>
      </c>
      <c r="N186">
        <f>M186/43106674.89</f>
        <v>0</v>
      </c>
      <c r="O186" t="s">
        <v>30</v>
      </c>
    </row>
    <row r="187" spans="2:15" x14ac:dyDescent="0.25">
      <c r="B187" t="s">
        <v>115</v>
      </c>
      <c r="C187" t="s">
        <v>108</v>
      </c>
      <c r="D187">
        <v>59</v>
      </c>
      <c r="E187">
        <v>789.47</v>
      </c>
      <c r="F187">
        <v>46578.73</v>
      </c>
      <c r="G187">
        <v>0.0010805456491102597</v>
      </c>
      <c r="I187" t="s">
        <v>108</v>
      </c>
      <c r="J187">
        <v>0</v>
      </c>
      <c r="K187">
        <v>0</v>
      </c>
      <c r="M187">
        <f>K187+L187</f>
        <v>0</v>
      </c>
      <c r="N187">
        <f>M187/43106674.89</f>
        <v>0</v>
      </c>
      <c r="O187" t="s">
        <v>30</v>
      </c>
    </row>
    <row r="188" spans="2:15" x14ac:dyDescent="0.25">
      <c r="B188" t="s">
        <v>116</v>
      </c>
      <c r="K188">
        <v>0</v>
      </c>
      <c r="M188">
        <f>K188+L188</f>
        <v>0</v>
      </c>
      <c r="N188">
        <f>M188/43106674.89</f>
        <v>0</v>
      </c>
    </row>
    <row r="189" spans="2:15" x14ac:dyDescent="0.25">
      <c r="B189" t="s">
        <v>117</v>
      </c>
      <c r="C189" t="s">
        <v>108</v>
      </c>
      <c r="D189">
        <v>85</v>
      </c>
      <c r="E189">
        <v>78.48</v>
      </c>
      <c r="F189">
        <v>6670.8</v>
      </c>
      <c r="G189">
        <v>0.00015475097573688077</v>
      </c>
      <c r="I189" t="s">
        <v>108</v>
      </c>
      <c r="J189">
        <v>0</v>
      </c>
      <c r="K189">
        <v>0</v>
      </c>
      <c r="M189">
        <f>K189+L189</f>
        <v>0</v>
      </c>
      <c r="N189">
        <f>M189/43106674.89</f>
        <v>0</v>
      </c>
      <c r="O189" t="s">
        <v>30</v>
      </c>
    </row>
    <row r="190" spans="2:15" x14ac:dyDescent="0.25">
      <c r="B190" t="s">
        <v>118</v>
      </c>
      <c r="C190" t="s">
        <v>108</v>
      </c>
      <c r="D190">
        <v>20</v>
      </c>
      <c r="E190">
        <v>187.88</v>
      </c>
      <c r="F190">
        <v>3757.6</v>
      </c>
      <c r="G190">
        <v>0.00008716979469162666</v>
      </c>
      <c r="I190" t="s">
        <v>108</v>
      </c>
      <c r="J190">
        <v>0</v>
      </c>
      <c r="K190">
        <v>0</v>
      </c>
      <c r="M190">
        <f>K190+L190</f>
        <v>0</v>
      </c>
      <c r="N190">
        <f>M190/43106674.89</f>
        <v>0</v>
      </c>
      <c r="O190" t="s">
        <v>30</v>
      </c>
    </row>
    <row r="191" spans="1:15" x14ac:dyDescent="0.25">
      <c r="A191" t="s">
        <v>156</v>
      </c>
      <c r="B191" t="s">
        <v>120</v>
      </c>
      <c r="K191">
        <v>0</v>
      </c>
      <c r="M191">
        <f>K191+L191</f>
        <v>0</v>
      </c>
      <c r="N191">
        <f>M191/43106674.89</f>
        <v>0</v>
      </c>
    </row>
    <row r="192" spans="2:15" x14ac:dyDescent="0.25">
      <c r="B192" t="s">
        <v>121</v>
      </c>
      <c r="C192" t="s">
        <v>90</v>
      </c>
      <c r="D192">
        <v>16</v>
      </c>
      <c r="E192">
        <v>1389.9099999999999</v>
      </c>
      <c r="F192">
        <v>22238.559999999998</v>
      </c>
      <c r="G192">
        <v>0.0005158959733440018</v>
      </c>
      <c r="I192" t="s">
        <v>90</v>
      </c>
      <c r="J192">
        <v>0</v>
      </c>
      <c r="K192">
        <v>0</v>
      </c>
      <c r="M192">
        <f>K192+L192</f>
        <v>0</v>
      </c>
      <c r="N192">
        <f>M192/43106674.89</f>
        <v>0</v>
      </c>
      <c r="O192" t="s">
        <v>30</v>
      </c>
    </row>
    <row r="193" spans="2:15" x14ac:dyDescent="0.25">
      <c r="B193" t="s">
        <v>122</v>
      </c>
      <c r="C193" t="s">
        <v>75</v>
      </c>
      <c r="D193">
        <v>6</v>
      </c>
      <c r="E193">
        <v>2523.2200000000007</v>
      </c>
      <c r="F193">
        <v>15139.320000000003</v>
      </c>
      <c r="G193">
        <v>0.00035120593362008667</v>
      </c>
      <c r="I193" t="s">
        <v>75</v>
      </c>
      <c r="J193">
        <v>0</v>
      </c>
      <c r="K193">
        <v>0</v>
      </c>
      <c r="M193">
        <v>0</v>
      </c>
      <c r="N193">
        <v>0</v>
      </c>
      <c r="O193" t="s">
        <v>30</v>
      </c>
    </row>
    <row r="194" spans="2:15" x14ac:dyDescent="0.25">
      <c r="B194" t="s">
        <v>123</v>
      </c>
      <c r="C194" t="s">
        <v>124</v>
      </c>
      <c r="D194">
        <v>25</v>
      </c>
      <c r="E194">
        <v>277.99000000000007</v>
      </c>
      <c r="F194">
        <v>6949.750000000002</v>
      </c>
      <c r="G194">
        <v>0.00016122213132268806</v>
      </c>
      <c r="I194" t="s">
        <v>124</v>
      </c>
      <c r="J194">
        <v>0</v>
      </c>
      <c r="K194">
        <v>0</v>
      </c>
      <c r="M194">
        <v>0</v>
      </c>
      <c r="N194">
        <v>0</v>
      </c>
      <c r="O194" t="s">
        <v>30</v>
      </c>
    </row>
    <row r="195" spans="2:15" x14ac:dyDescent="0.25">
      <c r="B195" t="s">
        <v>125</v>
      </c>
      <c r="C195" t="s">
        <v>126</v>
      </c>
      <c r="D195">
        <v>49</v>
      </c>
      <c r="E195">
        <v>374.2199999999999</v>
      </c>
      <c r="F195">
        <v>18336.779999999995</v>
      </c>
      <c r="G195">
        <v>0.0004253814530299994</v>
      </c>
      <c r="I195" t="s">
        <v>126</v>
      </c>
      <c r="J195">
        <v>0</v>
      </c>
      <c r="K195">
        <v>0</v>
      </c>
      <c r="M195">
        <f>K195+L195</f>
        <v>0</v>
      </c>
      <c r="N195">
        <f>M195/43106674.89</f>
        <v>0</v>
      </c>
      <c r="O195" t="s">
        <v>30</v>
      </c>
    </row>
    <row r="196" spans="2:15" x14ac:dyDescent="0.25">
      <c r="B196" t="s">
        <v>127</v>
      </c>
      <c r="C196" t="s">
        <v>75</v>
      </c>
      <c r="D196">
        <v>107</v>
      </c>
      <c r="E196">
        <v>171.07000000000002</v>
      </c>
      <c r="F196">
        <v>18304.49</v>
      </c>
      <c r="G196">
        <v>0.0004246323811036123</v>
      </c>
      <c r="I196" t="s">
        <v>75</v>
      </c>
      <c r="J196">
        <v>0</v>
      </c>
      <c r="K196">
        <v>0</v>
      </c>
      <c r="M196">
        <f>K196+L196</f>
        <v>0</v>
      </c>
      <c r="N196">
        <f>M196/43106674.89</f>
        <v>0</v>
      </c>
      <c r="O196" t="s">
        <v>30</v>
      </c>
    </row>
    <row r="197" spans="2:15" x14ac:dyDescent="0.25">
      <c r="B197" t="s">
        <v>128</v>
      </c>
      <c r="C197" t="s">
        <v>90</v>
      </c>
      <c r="D197">
        <v>32</v>
      </c>
      <c r="E197">
        <v>21.39</v>
      </c>
      <c r="F197">
        <v>684.48</v>
      </c>
      <c r="G197">
        <v>0.000015878747357495374</v>
      </c>
      <c r="I197" t="s">
        <v>90</v>
      </c>
      <c r="J197">
        <v>0</v>
      </c>
      <c r="K197">
        <v>0</v>
      </c>
      <c r="M197">
        <f>K197+L197</f>
        <v>0</v>
      </c>
      <c r="N197">
        <f>M197/43106674.89</f>
        <v>0</v>
      </c>
      <c r="O197" t="s">
        <v>30</v>
      </c>
    </row>
    <row r="198" spans="2:15" x14ac:dyDescent="0.25">
      <c r="B198" t="s">
        <v>129</v>
      </c>
      <c r="C198" t="s">
        <v>90</v>
      </c>
      <c r="D198">
        <v>32</v>
      </c>
      <c r="E198">
        <v>10.699999999999998</v>
      </c>
      <c r="F198">
        <v>342.3999999999999</v>
      </c>
      <c r="G198">
        <v>0.000007943085400897639</v>
      </c>
      <c r="I198" t="s">
        <v>90</v>
      </c>
      <c r="J198">
        <v>0</v>
      </c>
      <c r="K198">
        <v>0</v>
      </c>
      <c r="M198">
        <f>K198+L198</f>
        <v>0</v>
      </c>
      <c r="N198">
        <f>M198/43106674.89</f>
        <v>0</v>
      </c>
      <c r="O198" t="s">
        <v>30</v>
      </c>
    </row>
    <row r="199" spans="2:15" x14ac:dyDescent="0.25">
      <c r="B199" t="s">
        <v>130</v>
      </c>
      <c r="C199" t="s">
        <v>131</v>
      </c>
      <c r="D199">
        <v>1</v>
      </c>
      <c r="E199">
        <v>3432</v>
      </c>
      <c r="F199">
        <v>3432</v>
      </c>
      <c r="G199">
        <v>0.000079616440116474</v>
      </c>
      <c r="I199" t="s">
        <v>131</v>
      </c>
      <c r="J199">
        <v>0</v>
      </c>
      <c r="K199">
        <v>0</v>
      </c>
      <c r="M199">
        <f>K199+L199</f>
        <v>0</v>
      </c>
      <c r="N199">
        <f>M199/43106674.89</f>
        <v>0</v>
      </c>
      <c r="O199" t="s">
        <v>30</v>
      </c>
    </row>
    <row r="200" spans="2:15" x14ac:dyDescent="0.25">
      <c r="B200" t="s">
        <v>132</v>
      </c>
      <c r="C200" t="s">
        <v>90</v>
      </c>
      <c r="D200">
        <v>402</v>
      </c>
      <c r="E200">
        <v>42.78</v>
      </c>
      <c r="F200">
        <v>17197.56</v>
      </c>
      <c r="G200">
        <v>0.0003989535273570714</v>
      </c>
      <c r="I200" t="s">
        <v>90</v>
      </c>
      <c r="J200">
        <v>0</v>
      </c>
      <c r="K200">
        <v>0</v>
      </c>
      <c r="M200">
        <f>K200+L200</f>
        <v>0</v>
      </c>
      <c r="N200">
        <f>M200/43106674.89</f>
        <v>0</v>
      </c>
      <c r="O200" t="s">
        <v>30</v>
      </c>
    </row>
    <row r="201" spans="2:15" x14ac:dyDescent="0.25">
      <c r="B201" t="s">
        <v>133</v>
      </c>
      <c r="C201" t="s">
        <v>134</v>
      </c>
      <c r="D201">
        <v>7</v>
      </c>
      <c r="E201">
        <v>14497.769999999999</v>
      </c>
      <c r="F201">
        <v>101484.38999999998</v>
      </c>
      <c r="G201">
        <v>0.0023542616139836515</v>
      </c>
      <c r="I201" t="s">
        <v>134</v>
      </c>
      <c r="J201">
        <v>0</v>
      </c>
      <c r="K201">
        <v>0</v>
      </c>
      <c r="M201">
        <f>K201+L201</f>
        <v>0</v>
      </c>
      <c r="N201">
        <f>M201/43106674.89</f>
        <v>0</v>
      </c>
      <c r="O201" t="s">
        <v>30</v>
      </c>
    </row>
    <row r="202" spans="2:15" x14ac:dyDescent="0.25">
      <c r="B202" t="s">
        <v>135</v>
      </c>
      <c r="C202" t="s">
        <v>134</v>
      </c>
      <c r="D202">
        <v>4</v>
      </c>
      <c r="E202">
        <v>18175.66</v>
      </c>
      <c r="F202">
        <v>72702.64</v>
      </c>
      <c r="G202">
        <v>0.0016865749952999906</v>
      </c>
      <c r="I202" t="s">
        <v>134</v>
      </c>
      <c r="J202">
        <v>0</v>
      </c>
      <c r="K202">
        <v>0</v>
      </c>
      <c r="M202">
        <f>K202+L202</f>
        <v>0</v>
      </c>
      <c r="N202">
        <f>M202/43106674.89</f>
        <v>0</v>
      </c>
      <c r="O202" t="s">
        <v>30</v>
      </c>
    </row>
    <row r="203" spans="2:15" x14ac:dyDescent="0.25">
      <c r="B203" t="s">
        <v>136</v>
      </c>
      <c r="C203" t="s">
        <v>134</v>
      </c>
      <c r="D203">
        <v>12</v>
      </c>
      <c r="E203">
        <v>855.3299999999999</v>
      </c>
      <c r="F203">
        <v>10263.96</v>
      </c>
      <c r="G203">
        <v>0.00023810604798889408</v>
      </c>
      <c r="I203" t="s">
        <v>134</v>
      </c>
      <c r="J203">
        <v>0</v>
      </c>
      <c r="K203">
        <v>0</v>
      </c>
      <c r="M203">
        <f>K203+L203</f>
        <v>0</v>
      </c>
      <c r="N203">
        <f>M203/43106674.89</f>
        <v>0</v>
      </c>
      <c r="O203" t="s">
        <v>30</v>
      </c>
    </row>
    <row r="204" spans="2:15" x14ac:dyDescent="0.25">
      <c r="B204" t="s">
        <v>137</v>
      </c>
      <c r="C204" t="s">
        <v>90</v>
      </c>
      <c r="D204">
        <v>160</v>
      </c>
      <c r="E204">
        <v>53.470000000000006</v>
      </c>
      <c r="F204">
        <v>8555.2</v>
      </c>
      <c r="G204">
        <v>0.00019846578335794244</v>
      </c>
      <c r="I204" t="s">
        <v>90</v>
      </c>
      <c r="J204">
        <v>0</v>
      </c>
      <c r="K204">
        <v>0</v>
      </c>
      <c r="M204">
        <v>0</v>
      </c>
      <c r="N204">
        <v>0</v>
      </c>
      <c r="O204" t="s">
        <v>30</v>
      </c>
    </row>
    <row r="205" spans="2:15" x14ac:dyDescent="0.25">
      <c r="B205" t="s">
        <v>138</v>
      </c>
      <c r="C205" t="s">
        <v>90</v>
      </c>
      <c r="D205">
        <v>1</v>
      </c>
      <c r="E205">
        <v>213.84</v>
      </c>
      <c r="F205">
        <v>213.84</v>
      </c>
      <c r="G205">
        <v>0.000004960716653411073</v>
      </c>
      <c r="I205" t="s">
        <v>90</v>
      </c>
      <c r="J205">
        <v>0</v>
      </c>
      <c r="K205">
        <v>0</v>
      </c>
      <c r="M205">
        <f>K205+L205</f>
        <v>0</v>
      </c>
      <c r="N205">
        <f>M205/43106674.89</f>
        <v>0</v>
      </c>
      <c r="O205" t="s">
        <v>30</v>
      </c>
    </row>
    <row r="206" spans="1:15" x14ac:dyDescent="0.25">
      <c r="A206" t="s">
        <v>157</v>
      </c>
      <c r="B206" t="s">
        <v>140</v>
      </c>
      <c r="C206" t="s">
        <v>26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">
        <v>26</v>
      </c>
      <c r="J206">
        <v>0</v>
      </c>
      <c r="K206">
        <v>0</v>
      </c>
      <c r="M206">
        <v>0</v>
      </c>
      <c r="N206">
        <v>0</v>
      </c>
      <c r="O206" t="s">
        <v>30</v>
      </c>
    </row>
    <row r="207" spans="1:15" x14ac:dyDescent="0.25">
      <c r="A207" t="s">
        <v>158</v>
      </c>
      <c r="B207" t="s">
        <v>142</v>
      </c>
      <c r="C207" t="s">
        <v>26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">
        <v>26</v>
      </c>
      <c r="J207">
        <v>0</v>
      </c>
      <c r="K207">
        <v>0</v>
      </c>
      <c r="M207">
        <f>K207+L207</f>
        <v>0</v>
      </c>
      <c r="N207">
        <f>M207/43106674.89</f>
        <v>0</v>
      </c>
      <c r="O207" t="s">
        <v>30</v>
      </c>
    </row>
    <row r="208" spans="1:15" x14ac:dyDescent="0.25">
      <c r="A208" t="s">
        <v>159</v>
      </c>
      <c r="B208" t="s">
        <v>160</v>
      </c>
      <c r="C208" t="s">
        <v>26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">
        <v>26</v>
      </c>
      <c r="J208">
        <v>0</v>
      </c>
      <c r="K208">
        <v>0</v>
      </c>
      <c r="M208">
        <v>0</v>
      </c>
      <c r="N208">
        <v>0</v>
      </c>
      <c r="O208" t="s">
        <v>30</v>
      </c>
    </row>
    <row r="209" spans="1:15" x14ac:dyDescent="0.25">
      <c r="A209" t="s">
        <v>161</v>
      </c>
      <c r="B209" t="s">
        <v>162</v>
      </c>
      <c r="K209">
        <v>0</v>
      </c>
      <c r="M209">
        <f>K209+L209</f>
        <v>0</v>
      </c>
      <c r="N209">
        <f>M209/43106674.89</f>
        <v>0</v>
      </c>
    </row>
    <row r="210" spans="2:15" x14ac:dyDescent="0.25">
      <c r="B210" t="s">
        <v>163</v>
      </c>
      <c r="C210" t="s">
        <v>60</v>
      </c>
      <c r="D210">
        <v>3</v>
      </c>
      <c r="E210">
        <v>741057.71</v>
      </c>
      <c r="F210">
        <v>2223173.13</v>
      </c>
      <c r="G210">
        <v>0.05157375593624682</v>
      </c>
      <c r="I210" t="s">
        <v>60</v>
      </c>
      <c r="J210">
        <v>0</v>
      </c>
      <c r="K210">
        <v>0</v>
      </c>
      <c r="M210">
        <v>0</v>
      </c>
      <c r="N210">
        <v>0</v>
      </c>
      <c r="O210" t="s">
        <v>30</v>
      </c>
    </row>
    <row r="211" spans="2:15" x14ac:dyDescent="0.25">
      <c r="B211" t="s">
        <v>164</v>
      </c>
      <c r="C211" t="s">
        <v>60</v>
      </c>
      <c r="D211">
        <v>1</v>
      </c>
      <c r="E211">
        <v>55087.34</v>
      </c>
      <c r="F211">
        <v>55087.34</v>
      </c>
      <c r="G211">
        <v>0.0012779306253746627</v>
      </c>
      <c r="I211" t="s">
        <v>60</v>
      </c>
      <c r="J211">
        <v>0</v>
      </c>
      <c r="K211">
        <v>0</v>
      </c>
      <c r="M211">
        <f>K211+L211</f>
        <v>0</v>
      </c>
      <c r="N211">
        <f>M211/43106674.89</f>
        <v>0</v>
      </c>
      <c r="O211" t="s">
        <v>30</v>
      </c>
    </row>
    <row r="212" spans="2:15" x14ac:dyDescent="0.25">
      <c r="B212" t="s">
        <v>165</v>
      </c>
      <c r="C212" t="s">
        <v>60</v>
      </c>
      <c r="D212">
        <v>7</v>
      </c>
      <c r="E212">
        <v>56222.86</v>
      </c>
      <c r="F212">
        <v>393560.02</v>
      </c>
      <c r="G212">
        <v>0.009129909022310114</v>
      </c>
      <c r="I212" t="s">
        <v>60</v>
      </c>
      <c r="J212">
        <v>0</v>
      </c>
      <c r="K212">
        <v>0</v>
      </c>
      <c r="M212">
        <v>0</v>
      </c>
      <c r="N212">
        <v>0</v>
      </c>
      <c r="O212" t="s">
        <v>30</v>
      </c>
    </row>
    <row r="213" spans="2:15" x14ac:dyDescent="0.25">
      <c r="B213" t="s">
        <v>166</v>
      </c>
      <c r="C213" t="s">
        <v>60</v>
      </c>
      <c r="D213">
        <v>2</v>
      </c>
      <c r="E213">
        <v>87530.69</v>
      </c>
      <c r="F213">
        <v>175061.38</v>
      </c>
      <c r="G213">
        <v>0.004061120010919959</v>
      </c>
      <c r="I213" t="s">
        <v>60</v>
      </c>
      <c r="J213">
        <v>0</v>
      </c>
      <c r="K213">
        <v>0</v>
      </c>
      <c r="M213">
        <v>0</v>
      </c>
      <c r="N213">
        <v>0</v>
      </c>
      <c r="O213" t="s">
        <v>30</v>
      </c>
    </row>
    <row r="214" spans="2:15" x14ac:dyDescent="0.25">
      <c r="B214" t="s">
        <v>64</v>
      </c>
      <c r="K214">
        <v>0</v>
      </c>
      <c r="M214">
        <f>K214+L214</f>
        <v>0</v>
      </c>
      <c r="N214">
        <f>M214/43106674.89</f>
        <v>0</v>
      </c>
    </row>
    <row r="215" spans="2:15" x14ac:dyDescent="0.25">
      <c r="B215" t="s">
        <v>151</v>
      </c>
      <c r="C215" t="s">
        <v>60</v>
      </c>
      <c r="D215">
        <v>10</v>
      </c>
      <c r="E215">
        <v>11760.720000000001</v>
      </c>
      <c r="F215">
        <v>117607.20000000001</v>
      </c>
      <c r="G215">
        <v>0.002728282807711592</v>
      </c>
      <c r="I215" t="s">
        <v>60</v>
      </c>
      <c r="J215">
        <v>0</v>
      </c>
      <c r="K215">
        <v>0</v>
      </c>
      <c r="M215">
        <f>K215+L215</f>
        <v>0</v>
      </c>
      <c r="N215">
        <f>M215/43106674.89</f>
        <v>0</v>
      </c>
      <c r="O215" t="s">
        <v>30</v>
      </c>
    </row>
    <row r="216" spans="2:15" x14ac:dyDescent="0.25">
      <c r="B216" t="s">
        <v>66</v>
      </c>
      <c r="C216" t="s">
        <v>60</v>
      </c>
      <c r="D216">
        <v>2</v>
      </c>
      <c r="E216">
        <v>22345.370000000003</v>
      </c>
      <c r="F216">
        <v>44690.740000000005</v>
      </c>
      <c r="G216">
        <v>0.0010367475597234585</v>
      </c>
      <c r="I216" t="s">
        <v>60</v>
      </c>
      <c r="J216">
        <v>0</v>
      </c>
      <c r="K216">
        <v>0</v>
      </c>
      <c r="M216">
        <v>0</v>
      </c>
      <c r="N216">
        <v>0</v>
      </c>
      <c r="O216" t="s">
        <v>30</v>
      </c>
    </row>
    <row r="217" spans="2:15" x14ac:dyDescent="0.25">
      <c r="B217" t="s">
        <v>68</v>
      </c>
      <c r="C217" t="s">
        <v>60</v>
      </c>
      <c r="D217">
        <v>2</v>
      </c>
      <c r="E217">
        <v>4939.510000000001</v>
      </c>
      <c r="F217">
        <v>9879.020000000002</v>
      </c>
      <c r="G217">
        <v>0.00022917610846137797</v>
      </c>
      <c r="I217" t="s">
        <v>60</v>
      </c>
      <c r="J217">
        <v>0</v>
      </c>
      <c r="K217">
        <v>0</v>
      </c>
      <c r="M217">
        <v>0</v>
      </c>
      <c r="N217">
        <v>0</v>
      </c>
      <c r="O217" t="s">
        <v>30</v>
      </c>
    </row>
    <row r="218" spans="2:15" x14ac:dyDescent="0.25">
      <c r="B218" t="s">
        <v>152</v>
      </c>
      <c r="C218" t="s">
        <v>60</v>
      </c>
      <c r="D218">
        <v>4</v>
      </c>
      <c r="E218">
        <v>8232.51</v>
      </c>
      <c r="F218">
        <v>32930.04</v>
      </c>
      <c r="G218">
        <v>0.0007639197429175681</v>
      </c>
      <c r="I218" t="s">
        <v>60</v>
      </c>
      <c r="J218">
        <v>0</v>
      </c>
      <c r="K218">
        <v>0</v>
      </c>
      <c r="M218">
        <f>K218+L218</f>
        <v>0</v>
      </c>
      <c r="N218">
        <f>M218/43106674.89</f>
        <v>0</v>
      </c>
      <c r="O218" t="s">
        <v>30</v>
      </c>
    </row>
    <row r="219" spans="2:15" x14ac:dyDescent="0.25">
      <c r="B219" t="s">
        <v>153</v>
      </c>
      <c r="C219" t="s">
        <v>60</v>
      </c>
      <c r="D219">
        <v>3</v>
      </c>
      <c r="E219">
        <v>14112.87</v>
      </c>
      <c r="F219">
        <v>42338.61</v>
      </c>
      <c r="G219">
        <v>0.0009821822283449149</v>
      </c>
      <c r="I219" t="s">
        <v>60</v>
      </c>
      <c r="J219">
        <v>0</v>
      </c>
      <c r="K219">
        <v>0</v>
      </c>
      <c r="M219">
        <f>K219+L219</f>
        <v>0</v>
      </c>
      <c r="N219">
        <f>M219/43106674.89</f>
        <v>0</v>
      </c>
      <c r="O219" t="s">
        <v>30</v>
      </c>
    </row>
    <row r="220" spans="2:15" x14ac:dyDescent="0.25">
      <c r="B220" t="s">
        <v>71</v>
      </c>
      <c r="C220" t="s">
        <v>60</v>
      </c>
      <c r="D220">
        <v>3</v>
      </c>
      <c r="E220">
        <v>5997.970000000001</v>
      </c>
      <c r="F220">
        <v>17993.910000000003</v>
      </c>
      <c r="G220">
        <v>0.00041742746444528643</v>
      </c>
      <c r="I220" t="s">
        <v>60</v>
      </c>
      <c r="J220">
        <v>0</v>
      </c>
      <c r="K220">
        <v>0</v>
      </c>
      <c r="M220">
        <v>0</v>
      </c>
      <c r="N220">
        <v>0</v>
      </c>
      <c r="O220" t="s">
        <v>30</v>
      </c>
    </row>
    <row r="221" spans="2:15" x14ac:dyDescent="0.25">
      <c r="B221" t="s">
        <v>72</v>
      </c>
      <c r="C221" t="s">
        <v>60</v>
      </c>
      <c r="D221">
        <v>1</v>
      </c>
      <c r="E221">
        <v>39751.22</v>
      </c>
      <c r="F221">
        <v>39751.22</v>
      </c>
      <c r="G221">
        <v>0.0009221592735101353</v>
      </c>
      <c r="I221" t="s">
        <v>60</v>
      </c>
      <c r="J221">
        <v>0</v>
      </c>
      <c r="K221">
        <v>0</v>
      </c>
      <c r="M221">
        <v>0</v>
      </c>
      <c r="N221">
        <v>0</v>
      </c>
      <c r="O221" t="s">
        <v>30</v>
      </c>
    </row>
    <row r="222" spans="2:15" x14ac:dyDescent="0.25">
      <c r="B222" t="s">
        <v>73</v>
      </c>
      <c r="K222">
        <v>0</v>
      </c>
      <c r="M222">
        <f>K222+L222</f>
        <v>0</v>
      </c>
      <c r="N222">
        <f>M222/43106674.89</f>
        <v>0</v>
      </c>
    </row>
    <row r="223" spans="2:15" x14ac:dyDescent="0.25">
      <c r="B223" t="s">
        <v>74</v>
      </c>
      <c r="C223" t="s">
        <v>75</v>
      </c>
      <c r="D223">
        <v>1</v>
      </c>
      <c r="E223">
        <v>2120.33</v>
      </c>
      <c r="F223">
        <v>2120.33</v>
      </c>
      <c r="G223">
        <v>0.000049187973913800506</v>
      </c>
      <c r="I223" t="s">
        <v>75</v>
      </c>
      <c r="J223">
        <v>0</v>
      </c>
      <c r="K223">
        <v>0</v>
      </c>
      <c r="M223">
        <v>0</v>
      </c>
      <c r="N223">
        <v>0</v>
      </c>
      <c r="O223" t="s">
        <v>30</v>
      </c>
    </row>
    <row r="224" spans="2:15" x14ac:dyDescent="0.25">
      <c r="B224" t="s">
        <v>76</v>
      </c>
      <c r="C224" t="s">
        <v>75</v>
      </c>
      <c r="D224">
        <v>11</v>
      </c>
      <c r="E224">
        <v>2952.3500000000004</v>
      </c>
      <c r="F224">
        <v>32475.850000000006</v>
      </c>
      <c r="G224">
        <v>0.000753383323647026</v>
      </c>
      <c r="I224" t="s">
        <v>75</v>
      </c>
      <c r="J224">
        <v>0</v>
      </c>
      <c r="K224">
        <v>0</v>
      </c>
      <c r="M224">
        <v>0</v>
      </c>
      <c r="N224">
        <v>0</v>
      </c>
      <c r="O224" t="s">
        <v>30</v>
      </c>
    </row>
    <row r="225" spans="2:15" x14ac:dyDescent="0.25">
      <c r="B225" t="s">
        <v>77</v>
      </c>
      <c r="C225" t="s">
        <v>75</v>
      </c>
      <c r="D225">
        <v>2</v>
      </c>
      <c r="E225">
        <v>4696.92</v>
      </c>
      <c r="F225">
        <v>9393.84</v>
      </c>
      <c r="G225">
        <v>0.00021792077500691672</v>
      </c>
      <c r="I225" t="s">
        <v>75</v>
      </c>
      <c r="J225">
        <v>0</v>
      </c>
      <c r="K225">
        <v>0</v>
      </c>
      <c r="M225">
        <f>K225+L225</f>
        <v>0</v>
      </c>
      <c r="N225">
        <f>M225/43106674.89</f>
        <v>0</v>
      </c>
      <c r="O225" t="s">
        <v>30</v>
      </c>
    </row>
    <row r="226" spans="2:15" x14ac:dyDescent="0.25">
      <c r="B226" t="s">
        <v>78</v>
      </c>
      <c r="C226" t="s">
        <v>75</v>
      </c>
      <c r="D226">
        <v>14</v>
      </c>
      <c r="E226">
        <v>6775.950000000002</v>
      </c>
      <c r="F226">
        <v>94863.30000000002</v>
      </c>
      <c r="G226">
        <v>0.002200663823922235</v>
      </c>
      <c r="I226" t="s">
        <v>75</v>
      </c>
      <c r="J226">
        <v>0</v>
      </c>
      <c r="K226">
        <v>0</v>
      </c>
      <c r="M226">
        <f>K226+L226</f>
        <v>0</v>
      </c>
      <c r="N226">
        <f>M226/43106674.89</f>
        <v>0</v>
      </c>
      <c r="O226" t="s">
        <v>30</v>
      </c>
    </row>
    <row r="227" spans="2:15" x14ac:dyDescent="0.25">
      <c r="B227" t="s">
        <v>79</v>
      </c>
      <c r="C227" t="s">
        <v>75</v>
      </c>
      <c r="D227">
        <v>9</v>
      </c>
      <c r="E227">
        <v>8642.33</v>
      </c>
      <c r="F227">
        <v>77780.97</v>
      </c>
      <c r="G227">
        <v>0.001804383432461032</v>
      </c>
      <c r="I227" t="s">
        <v>75</v>
      </c>
      <c r="J227">
        <v>0</v>
      </c>
      <c r="K227">
        <v>0</v>
      </c>
      <c r="M227">
        <f>K227+L227</f>
        <v>0</v>
      </c>
      <c r="N227">
        <f>M227/43106674.89</f>
        <v>0</v>
      </c>
      <c r="O227" t="s">
        <v>30</v>
      </c>
    </row>
    <row r="228" spans="2:15" x14ac:dyDescent="0.25">
      <c r="B228" t="s">
        <v>80</v>
      </c>
      <c r="C228" t="s">
        <v>75</v>
      </c>
      <c r="D228">
        <v>1</v>
      </c>
      <c r="E228">
        <v>10870.01</v>
      </c>
      <c r="F228">
        <v>10870.01</v>
      </c>
      <c r="G228">
        <v>0.0002521653555450098</v>
      </c>
      <c r="I228" t="s">
        <v>75</v>
      </c>
      <c r="J228">
        <v>0</v>
      </c>
      <c r="K228">
        <v>0</v>
      </c>
      <c r="M228">
        <f>K228+L228</f>
        <v>0</v>
      </c>
      <c r="N228">
        <f>M228/43106674.89</f>
        <v>0</v>
      </c>
      <c r="O228" t="s">
        <v>30</v>
      </c>
    </row>
    <row r="229" spans="2:15" x14ac:dyDescent="0.25">
      <c r="B229" t="s">
        <v>81</v>
      </c>
      <c r="C229" t="s">
        <v>75</v>
      </c>
      <c r="D229">
        <v>5</v>
      </c>
      <c r="E229">
        <v>15566.920000000002</v>
      </c>
      <c r="F229">
        <v>77834.6</v>
      </c>
      <c r="G229">
        <v>0.0018056275553291693</v>
      </c>
      <c r="I229" t="s">
        <v>75</v>
      </c>
      <c r="J229">
        <v>0</v>
      </c>
      <c r="K229">
        <v>0</v>
      </c>
      <c r="M229">
        <f>K229+L229</f>
        <v>0</v>
      </c>
      <c r="N229">
        <f>M229/43106674.89</f>
        <v>0</v>
      </c>
      <c r="O229" t="s">
        <v>30</v>
      </c>
    </row>
    <row r="230" spans="2:15" x14ac:dyDescent="0.25">
      <c r="B230" t="s">
        <v>82</v>
      </c>
      <c r="C230" t="s">
        <v>75</v>
      </c>
      <c r="D230">
        <v>3</v>
      </c>
      <c r="E230">
        <v>21015.330000000005</v>
      </c>
      <c r="F230">
        <v>63045.99000000002</v>
      </c>
      <c r="G230">
        <v>0.0014625574846791436</v>
      </c>
      <c r="I230" t="s">
        <v>75</v>
      </c>
      <c r="J230">
        <v>0</v>
      </c>
      <c r="K230">
        <v>0</v>
      </c>
      <c r="M230">
        <v>0</v>
      </c>
      <c r="N230">
        <v>0</v>
      </c>
      <c r="O230" t="s">
        <v>30</v>
      </c>
    </row>
    <row r="231" spans="2:15" x14ac:dyDescent="0.25">
      <c r="B231" t="s">
        <v>83</v>
      </c>
      <c r="C231" t="s">
        <v>75</v>
      </c>
      <c r="D231">
        <v>7</v>
      </c>
      <c r="E231">
        <v>27039.769999999997</v>
      </c>
      <c r="F231">
        <v>189278.38999999998</v>
      </c>
      <c r="G231">
        <v>0.0043909299541892806</v>
      </c>
      <c r="I231" t="s">
        <v>75</v>
      </c>
      <c r="J231">
        <v>0</v>
      </c>
      <c r="K231">
        <v>0</v>
      </c>
      <c r="M231">
        <v>0</v>
      </c>
      <c r="N231">
        <v>0</v>
      </c>
      <c r="O231" t="s">
        <v>30</v>
      </c>
    </row>
    <row r="232" spans="2:15" x14ac:dyDescent="0.25">
      <c r="B232" t="s">
        <v>84</v>
      </c>
    </row>
    <row r="233" spans="2:15" x14ac:dyDescent="0.25">
      <c r="B233" t="s">
        <v>74</v>
      </c>
      <c r="C233" t="s">
        <v>75</v>
      </c>
      <c r="D233">
        <v>2</v>
      </c>
      <c r="E233">
        <v>433.56999999999994</v>
      </c>
      <c r="F233">
        <v>867.1399999999999</v>
      </c>
      <c r="G233">
        <v>0.00002011614215693452</v>
      </c>
      <c r="I233" t="s">
        <v>75</v>
      </c>
      <c r="J233">
        <v>0</v>
      </c>
      <c r="K233">
        <v>0</v>
      </c>
      <c r="M233">
        <f>K233+L233</f>
        <v>0</v>
      </c>
      <c r="N233">
        <f>M233/43106674.89</f>
        <v>0</v>
      </c>
      <c r="O233" t="s">
        <v>30</v>
      </c>
    </row>
    <row r="234" spans="2:15" x14ac:dyDescent="0.25">
      <c r="B234" t="s">
        <v>76</v>
      </c>
      <c r="C234" t="s">
        <v>75</v>
      </c>
      <c r="D234">
        <v>21</v>
      </c>
      <c r="E234">
        <v>441.8299999999999</v>
      </c>
      <c r="F234">
        <v>9278.429999999998</v>
      </c>
      <c r="G234">
        <v>0.0002152434634236293</v>
      </c>
      <c r="I234" t="s">
        <v>75</v>
      </c>
      <c r="J234">
        <v>0</v>
      </c>
      <c r="K234">
        <v>0</v>
      </c>
      <c r="M234">
        <f>K234+L234</f>
        <v>0</v>
      </c>
      <c r="N234">
        <f>M234/43106674.89</f>
        <v>0</v>
      </c>
      <c r="O234" t="s">
        <v>30</v>
      </c>
    </row>
    <row r="235" spans="2:15" x14ac:dyDescent="0.25">
      <c r="B235" t="s">
        <v>77</v>
      </c>
      <c r="C235" t="s">
        <v>75</v>
      </c>
      <c r="D235">
        <v>4</v>
      </c>
      <c r="E235">
        <v>516.15</v>
      </c>
      <c r="F235">
        <v>2064.6</v>
      </c>
      <c r="G235">
        <v>0.00004789513469244529</v>
      </c>
      <c r="I235" t="s">
        <v>75</v>
      </c>
      <c r="J235">
        <v>0</v>
      </c>
      <c r="K235">
        <v>0</v>
      </c>
      <c r="M235">
        <f>K235+L235</f>
        <v>0</v>
      </c>
      <c r="N235">
        <f>M235/43106674.89</f>
        <v>0</v>
      </c>
      <c r="O235" t="s">
        <v>30</v>
      </c>
    </row>
    <row r="236" spans="2:15" x14ac:dyDescent="0.25">
      <c r="B236" t="s">
        <v>78</v>
      </c>
      <c r="C236" t="s">
        <v>75</v>
      </c>
      <c r="D236">
        <v>27</v>
      </c>
      <c r="E236">
        <v>629.7099999999999</v>
      </c>
      <c r="F236">
        <v>17002.17</v>
      </c>
      <c r="G236">
        <v>0.00039442081866407656</v>
      </c>
      <c r="I236" t="s">
        <v>75</v>
      </c>
      <c r="J236">
        <v>0</v>
      </c>
      <c r="K236">
        <v>0</v>
      </c>
      <c r="M236">
        <v>0</v>
      </c>
      <c r="N236">
        <v>0</v>
      </c>
      <c r="O236" t="s">
        <v>30</v>
      </c>
    </row>
    <row r="237" spans="2:15" x14ac:dyDescent="0.25">
      <c r="B237" t="s">
        <v>79</v>
      </c>
      <c r="C237" t="s">
        <v>75</v>
      </c>
      <c r="D237">
        <v>17</v>
      </c>
      <c r="E237">
        <v>708.16</v>
      </c>
      <c r="F237">
        <v>12038.72</v>
      </c>
      <c r="G237">
        <v>0.00027927739800670103</v>
      </c>
      <c r="I237" t="s">
        <v>75</v>
      </c>
      <c r="J237">
        <v>0</v>
      </c>
      <c r="K237">
        <v>0</v>
      </c>
      <c r="M237">
        <f>K237+L237</f>
        <v>0</v>
      </c>
      <c r="N237">
        <f>M237/43106674.89</f>
        <v>0</v>
      </c>
      <c r="O237" t="s">
        <v>30</v>
      </c>
    </row>
    <row r="238" spans="2:15" x14ac:dyDescent="0.25">
      <c r="B238" t="s">
        <v>80</v>
      </c>
      <c r="C238" t="s">
        <v>75</v>
      </c>
      <c r="D238">
        <v>2</v>
      </c>
      <c r="E238">
        <v>784.55</v>
      </c>
      <c r="F238">
        <v>1569.1</v>
      </c>
      <c r="G238">
        <v>0.00003640039515931217</v>
      </c>
      <c r="I238" t="s">
        <v>75</v>
      </c>
      <c r="J238">
        <v>0</v>
      </c>
      <c r="K238">
        <v>0</v>
      </c>
      <c r="M238">
        <f>K238+L238</f>
        <v>0</v>
      </c>
      <c r="N238">
        <f>M238/43106674.89</f>
        <v>0</v>
      </c>
      <c r="O238" t="s">
        <v>30</v>
      </c>
    </row>
    <row r="239" spans="2:15" x14ac:dyDescent="0.25">
      <c r="B239" t="s">
        <v>81</v>
      </c>
      <c r="C239" t="s">
        <v>75</v>
      </c>
      <c r="D239">
        <v>10</v>
      </c>
      <c r="E239">
        <v>846.49</v>
      </c>
      <c r="F239">
        <v>8464.9</v>
      </c>
      <c r="G239">
        <v>0.00019637098016956318</v>
      </c>
      <c r="I239" t="s">
        <v>75</v>
      </c>
      <c r="J239">
        <v>0</v>
      </c>
      <c r="K239">
        <v>0</v>
      </c>
      <c r="M239">
        <f>K239+L239</f>
        <v>0</v>
      </c>
      <c r="N239">
        <f>M239/43106674.89</f>
        <v>0</v>
      </c>
      <c r="O239" t="s">
        <v>30</v>
      </c>
    </row>
    <row r="240" spans="2:15" x14ac:dyDescent="0.25">
      <c r="B240" t="s">
        <v>82</v>
      </c>
      <c r="C240" t="s">
        <v>75</v>
      </c>
      <c r="D240">
        <v>5</v>
      </c>
      <c r="E240">
        <v>896.03</v>
      </c>
      <c r="F240">
        <v>4480.15</v>
      </c>
      <c r="G240">
        <v>0.00010393169993817628</v>
      </c>
      <c r="I240" t="s">
        <v>75</v>
      </c>
      <c r="J240">
        <v>0</v>
      </c>
      <c r="K240">
        <v>0</v>
      </c>
      <c r="M240">
        <f>K240+L240</f>
        <v>0</v>
      </c>
      <c r="N240">
        <f>M240/43106674.89</f>
        <v>0</v>
      </c>
      <c r="O240" t="s">
        <v>30</v>
      </c>
    </row>
    <row r="241" spans="2:15" x14ac:dyDescent="0.25">
      <c r="B241" t="s">
        <v>83</v>
      </c>
      <c r="C241" t="s">
        <v>75</v>
      </c>
      <c r="D241">
        <v>13</v>
      </c>
      <c r="E241">
        <v>1011.66</v>
      </c>
      <c r="F241">
        <v>13151.58</v>
      </c>
      <c r="G241">
        <v>0.0003050938174554246</v>
      </c>
      <c r="I241" t="s">
        <v>75</v>
      </c>
      <c r="J241">
        <v>0</v>
      </c>
      <c r="K241">
        <v>0</v>
      </c>
      <c r="M241">
        <v>0</v>
      </c>
      <c r="N241">
        <v>0</v>
      </c>
      <c r="O241" t="s">
        <v>30</v>
      </c>
    </row>
    <row r="242" spans="2:15" x14ac:dyDescent="0.25">
      <c r="B242" t="s">
        <v>85</v>
      </c>
      <c r="C242" t="s">
        <v>26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">
        <v>26</v>
      </c>
      <c r="J242">
        <v>0</v>
      </c>
      <c r="K242">
        <v>0</v>
      </c>
      <c r="M242">
        <f>K242+L242</f>
        <v>0</v>
      </c>
      <c r="N242">
        <f>M242/43106674.89</f>
        <v>0</v>
      </c>
      <c r="O242" t="s">
        <v>30</v>
      </c>
    </row>
    <row r="243" spans="2:15" x14ac:dyDescent="0.25">
      <c r="B243" t="s">
        <v>86</v>
      </c>
      <c r="C243" t="s">
        <v>87</v>
      </c>
      <c r="D243">
        <v>20</v>
      </c>
      <c r="E243">
        <v>3207.4800000000005</v>
      </c>
      <c r="F243">
        <v>64149.600000000006</v>
      </c>
      <c r="G243">
        <v>0.0014881593201910726</v>
      </c>
      <c r="I243" t="s">
        <v>87</v>
      </c>
      <c r="J243">
        <v>0</v>
      </c>
      <c r="K243">
        <v>0</v>
      </c>
      <c r="M243">
        <f>K243+L243</f>
        <v>0</v>
      </c>
      <c r="N243">
        <f>M243/43106674.89</f>
        <v>0</v>
      </c>
      <c r="O243" t="s">
        <v>30</v>
      </c>
    </row>
    <row r="244" spans="2:15" x14ac:dyDescent="0.25">
      <c r="B244" t="s">
        <v>88</v>
      </c>
      <c r="C244" t="s">
        <v>26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">
        <v>26</v>
      </c>
      <c r="J244">
        <v>0</v>
      </c>
      <c r="K244">
        <v>0</v>
      </c>
      <c r="M244">
        <v>0</v>
      </c>
      <c r="N244">
        <v>0</v>
      </c>
      <c r="O244" t="s">
        <v>30</v>
      </c>
    </row>
    <row r="245" spans="2:15" x14ac:dyDescent="0.25">
      <c r="B245" t="s">
        <v>89</v>
      </c>
      <c r="C245" t="s">
        <v>90</v>
      </c>
      <c r="D245">
        <v>3</v>
      </c>
      <c r="E245">
        <v>9622.41</v>
      </c>
      <c r="F245">
        <v>28867.23</v>
      </c>
      <c r="G245">
        <v>0.0006696696062422733</v>
      </c>
      <c r="I245" t="s">
        <v>90</v>
      </c>
      <c r="J245">
        <v>0</v>
      </c>
      <c r="K245">
        <v>0</v>
      </c>
      <c r="M245">
        <v>0</v>
      </c>
      <c r="N245">
        <v>0</v>
      </c>
      <c r="O245" t="s">
        <v>30</v>
      </c>
    </row>
    <row r="246" spans="2:15" x14ac:dyDescent="0.25">
      <c r="B246" t="s">
        <v>91</v>
      </c>
      <c r="K246">
        <v>0</v>
      </c>
      <c r="M246">
        <f>K246+L246</f>
        <v>0</v>
      </c>
      <c r="N246">
        <f>M246/43106674.89</f>
        <v>0</v>
      </c>
    </row>
    <row r="247" spans="2:15" x14ac:dyDescent="0.25">
      <c r="B247" t="s">
        <v>92</v>
      </c>
      <c r="C247" t="s">
        <v>75</v>
      </c>
      <c r="D247">
        <v>33</v>
      </c>
      <c r="E247">
        <v>404.15000000000003</v>
      </c>
      <c r="F247">
        <v>13336.95</v>
      </c>
      <c r="G247">
        <v>0.0003093940795487786</v>
      </c>
      <c r="I247" t="s">
        <v>75</v>
      </c>
      <c r="J247">
        <v>0</v>
      </c>
      <c r="K247">
        <v>0</v>
      </c>
      <c r="M247">
        <f>K247+L247</f>
        <v>0</v>
      </c>
      <c r="N247">
        <f>M247/43106674.89</f>
        <v>0</v>
      </c>
      <c r="O247" t="s">
        <v>30</v>
      </c>
    </row>
    <row r="248" spans="2:15" x14ac:dyDescent="0.25">
      <c r="B248" t="s">
        <v>93</v>
      </c>
      <c r="C248" t="s">
        <v>75</v>
      </c>
      <c r="D248">
        <v>12</v>
      </c>
      <c r="E248">
        <v>641.8299999999999</v>
      </c>
      <c r="F248">
        <v>7701.959999999999</v>
      </c>
      <c r="G248">
        <v>0.00017867209706278495</v>
      </c>
      <c r="I248" t="s">
        <v>75</v>
      </c>
      <c r="J248">
        <v>0</v>
      </c>
      <c r="K248">
        <v>0</v>
      </c>
      <c r="M248">
        <f>K248+L248</f>
        <v>0</v>
      </c>
      <c r="N248">
        <f>M248/43106674.89</f>
        <v>0</v>
      </c>
      <c r="O248" t="s">
        <v>30</v>
      </c>
    </row>
    <row r="249" spans="2:15" x14ac:dyDescent="0.25">
      <c r="B249" t="s">
        <v>94</v>
      </c>
      <c r="K249">
        <v>0</v>
      </c>
      <c r="M249">
        <f>K249+L249</f>
        <v>0</v>
      </c>
      <c r="N249">
        <f>M249/43106674.89</f>
        <v>0</v>
      </c>
    </row>
    <row r="250" spans="2:15" x14ac:dyDescent="0.25">
      <c r="B250" t="s">
        <v>95</v>
      </c>
      <c r="C250" t="s">
        <v>75</v>
      </c>
      <c r="D250">
        <v>66</v>
      </c>
      <c r="E250">
        <v>427.6699999999999</v>
      </c>
      <c r="F250">
        <v>28226.219999999994</v>
      </c>
      <c r="G250">
        <v>0.0006547992873963929</v>
      </c>
      <c r="I250" t="s">
        <v>75</v>
      </c>
      <c r="J250">
        <v>0</v>
      </c>
      <c r="K250">
        <v>0</v>
      </c>
      <c r="M250">
        <f>K250+L250</f>
        <v>0</v>
      </c>
      <c r="N250">
        <f>M250/43106674.89</f>
        <v>0</v>
      </c>
      <c r="O250" t="s">
        <v>30</v>
      </c>
    </row>
    <row r="251" spans="2:15" x14ac:dyDescent="0.25">
      <c r="B251" t="s">
        <v>96</v>
      </c>
      <c r="C251" t="s">
        <v>75</v>
      </c>
      <c r="D251">
        <v>23</v>
      </c>
      <c r="E251">
        <v>812.5699999999998</v>
      </c>
      <c r="F251">
        <v>18689.109999999997</v>
      </c>
      <c r="G251">
        <v>0.00043355489718682847</v>
      </c>
      <c r="I251" t="s">
        <v>75</v>
      </c>
      <c r="J251">
        <v>0</v>
      </c>
      <c r="K251">
        <v>0</v>
      </c>
      <c r="M251">
        <f>K251+L251</f>
        <v>0</v>
      </c>
      <c r="N251">
        <f>M251/43106674.89</f>
        <v>0</v>
      </c>
      <c r="O251" t="s">
        <v>30</v>
      </c>
    </row>
    <row r="252" spans="2:15" x14ac:dyDescent="0.25">
      <c r="B252" t="s">
        <v>97</v>
      </c>
      <c r="K252">
        <v>0</v>
      </c>
      <c r="M252">
        <f>K252+L252</f>
        <v>0</v>
      </c>
      <c r="N252">
        <f>M252/43106674.89</f>
        <v>0</v>
      </c>
    </row>
    <row r="253" spans="2:15" x14ac:dyDescent="0.25">
      <c r="B253" t="s">
        <v>98</v>
      </c>
      <c r="C253" t="s">
        <v>90</v>
      </c>
      <c r="D253">
        <v>11</v>
      </c>
      <c r="E253">
        <v>30473.16</v>
      </c>
      <c r="F253">
        <v>335204.76</v>
      </c>
      <c r="G253">
        <v>0.007776168327883753</v>
      </c>
      <c r="I253" t="s">
        <v>90</v>
      </c>
      <c r="J253">
        <v>0</v>
      </c>
      <c r="K253">
        <v>0</v>
      </c>
      <c r="M253">
        <f>K253+L253</f>
        <v>0</v>
      </c>
      <c r="N253">
        <f>M253/43106674.89</f>
        <v>0</v>
      </c>
      <c r="O253" t="s">
        <v>30</v>
      </c>
    </row>
    <row r="254" spans="2:15" x14ac:dyDescent="0.25">
      <c r="B254" t="s">
        <v>99</v>
      </c>
      <c r="K254">
        <v>0</v>
      </c>
      <c r="M254">
        <f>K254+L254</f>
        <v>0</v>
      </c>
      <c r="N254">
        <f>M254/43106674.89</f>
        <v>0</v>
      </c>
    </row>
    <row r="255" spans="2:15" x14ac:dyDescent="0.25">
      <c r="B255" t="s">
        <v>100</v>
      </c>
      <c r="C255" t="s">
        <v>75</v>
      </c>
      <c r="D255">
        <v>7</v>
      </c>
      <c r="E255">
        <v>192.45999999999998</v>
      </c>
      <c r="F255">
        <v>1347.2199999999998</v>
      </c>
      <c r="G255">
        <v>0.000031253164467865996</v>
      </c>
      <c r="I255" t="s">
        <v>75</v>
      </c>
      <c r="J255">
        <v>0</v>
      </c>
      <c r="K255">
        <v>0</v>
      </c>
      <c r="M255">
        <f>K255+L255</f>
        <v>0</v>
      </c>
      <c r="N255">
        <f>M255/43106674.89</f>
        <v>0</v>
      </c>
      <c r="O255" t="s">
        <v>30</v>
      </c>
    </row>
    <row r="256" spans="2:15" x14ac:dyDescent="0.25">
      <c r="B256" t="s">
        <v>101</v>
      </c>
      <c r="C256" t="s">
        <v>75</v>
      </c>
      <c r="D256">
        <v>6</v>
      </c>
      <c r="E256">
        <v>53.47</v>
      </c>
      <c r="F256">
        <v>320.82</v>
      </c>
      <c r="G256">
        <v>0.000007442466875922841</v>
      </c>
      <c r="I256" t="s">
        <v>75</v>
      </c>
      <c r="J256">
        <v>0</v>
      </c>
      <c r="K256">
        <v>0</v>
      </c>
      <c r="M256">
        <f>K256+L256</f>
        <v>0</v>
      </c>
      <c r="N256">
        <f>M256/43106674.89</f>
        <v>0</v>
      </c>
      <c r="O256" t="s">
        <v>30</v>
      </c>
    </row>
    <row r="257" spans="2:15" x14ac:dyDescent="0.25">
      <c r="B257" t="s">
        <v>103</v>
      </c>
      <c r="C257" t="s">
        <v>75</v>
      </c>
      <c r="D257">
        <v>7</v>
      </c>
      <c r="E257">
        <v>43.63</v>
      </c>
      <c r="F257">
        <v>305.41</v>
      </c>
      <c r="G257">
        <v>0.000007084981636355574</v>
      </c>
      <c r="I257" t="s">
        <v>75</v>
      </c>
      <c r="J257">
        <v>0</v>
      </c>
      <c r="K257">
        <v>0</v>
      </c>
      <c r="M257">
        <f>K257+L257</f>
        <v>0</v>
      </c>
      <c r="N257">
        <f>M257/43106674.89</f>
        <v>0</v>
      </c>
      <c r="O257" t="s">
        <v>30</v>
      </c>
    </row>
    <row r="258" spans="2:15" x14ac:dyDescent="0.25">
      <c r="B258" t="s">
        <v>104</v>
      </c>
      <c r="C258" t="s">
        <v>75</v>
      </c>
      <c r="D258">
        <v>2</v>
      </c>
      <c r="E258">
        <v>213.84</v>
      </c>
      <c r="F258">
        <v>427.68</v>
      </c>
      <c r="G258">
        <v>0.000009921433306822145</v>
      </c>
      <c r="I258" t="s">
        <v>75</v>
      </c>
      <c r="J258">
        <v>0</v>
      </c>
      <c r="K258">
        <v>0</v>
      </c>
      <c r="M258">
        <f>K258+L258</f>
        <v>0</v>
      </c>
      <c r="N258">
        <f>M258/43106674.89</f>
        <v>0</v>
      </c>
      <c r="O258" t="s">
        <v>30</v>
      </c>
    </row>
    <row r="259" spans="2:15" x14ac:dyDescent="0.25">
      <c r="B259" t="s">
        <v>105</v>
      </c>
      <c r="K259">
        <v>0</v>
      </c>
      <c r="M259">
        <f>K259+L259</f>
        <v>0</v>
      </c>
      <c r="N259">
        <f>M259/43106674.89</f>
        <v>0</v>
      </c>
    </row>
    <row r="260" spans="2:15" x14ac:dyDescent="0.25">
      <c r="B260" t="s">
        <v>106</v>
      </c>
    </row>
    <row r="261" spans="2:15" x14ac:dyDescent="0.25">
      <c r="B261" t="s">
        <v>107</v>
      </c>
      <c r="C261" t="s">
        <v>108</v>
      </c>
      <c r="D261">
        <v>78</v>
      </c>
      <c r="E261">
        <v>404.15</v>
      </c>
      <c r="F261">
        <v>31523.699999999997</v>
      </c>
      <c r="G261">
        <v>0.0007312950971152947</v>
      </c>
      <c r="I261" t="s">
        <v>108</v>
      </c>
      <c r="J261">
        <v>0</v>
      </c>
      <c r="K261">
        <v>0</v>
      </c>
      <c r="M261">
        <f>K261+L261</f>
        <v>0</v>
      </c>
      <c r="N261">
        <f>M261/43106674.89</f>
        <v>0</v>
      </c>
      <c r="O261" t="s">
        <v>30</v>
      </c>
    </row>
    <row r="262" spans="2:15" x14ac:dyDescent="0.25">
      <c r="B262" t="s">
        <v>109</v>
      </c>
      <c r="C262" t="s">
        <v>108</v>
      </c>
      <c r="D262">
        <v>444</v>
      </c>
      <c r="E262">
        <v>65.86999999999999</v>
      </c>
      <c r="F262">
        <v>29246.279999999995</v>
      </c>
      <c r="G262">
        <v>0.0006784629079981442</v>
      </c>
      <c r="I262" t="s">
        <v>108</v>
      </c>
      <c r="J262">
        <v>0</v>
      </c>
      <c r="K262">
        <v>0</v>
      </c>
      <c r="M262">
        <v>0</v>
      </c>
      <c r="N262">
        <v>0</v>
      </c>
      <c r="O262" t="s">
        <v>30</v>
      </c>
    </row>
    <row r="263" spans="2:15" x14ac:dyDescent="0.25">
      <c r="B263" t="s">
        <v>110</v>
      </c>
      <c r="C263" t="s">
        <v>90</v>
      </c>
      <c r="D263">
        <v>26</v>
      </c>
      <c r="E263">
        <v>32.09</v>
      </c>
      <c r="F263">
        <v>834.3400000000001</v>
      </c>
      <c r="G263">
        <v>0.000019355239116194327</v>
      </c>
      <c r="I263" t="s">
        <v>90</v>
      </c>
      <c r="J263">
        <v>0</v>
      </c>
      <c r="K263">
        <v>0</v>
      </c>
      <c r="M263">
        <f>K263+L263</f>
        <v>0</v>
      </c>
      <c r="N263">
        <f>M263/43106674.89</f>
        <v>0</v>
      </c>
      <c r="O263" t="s">
        <v>30</v>
      </c>
    </row>
    <row r="264" spans="2:15" x14ac:dyDescent="0.25">
      <c r="B264" t="s">
        <v>111</v>
      </c>
    </row>
    <row r="265" spans="2:15" x14ac:dyDescent="0.25">
      <c r="B265" t="s">
        <v>112</v>
      </c>
      <c r="C265" t="s">
        <v>108</v>
      </c>
      <c r="D265">
        <v>291</v>
      </c>
      <c r="E265">
        <v>80.84</v>
      </c>
      <c r="F265">
        <v>23524.440000000002</v>
      </c>
      <c r="G265">
        <v>0.00054572615633263</v>
      </c>
      <c r="I265" t="s">
        <v>108</v>
      </c>
      <c r="J265">
        <v>0</v>
      </c>
      <c r="K265">
        <v>0</v>
      </c>
      <c r="M265">
        <f>K265+L265</f>
        <v>0</v>
      </c>
      <c r="N265">
        <f>M265/43106674.89</f>
        <v>0</v>
      </c>
      <c r="O265" t="s">
        <v>30</v>
      </c>
    </row>
    <row r="266" spans="2:15" x14ac:dyDescent="0.25">
      <c r="B266" t="s">
        <v>113</v>
      </c>
      <c r="C266" t="s">
        <v>108</v>
      </c>
      <c r="D266">
        <v>63</v>
      </c>
      <c r="E266">
        <v>78.49</v>
      </c>
      <c r="F266">
        <v>4944.87</v>
      </c>
      <c r="G266">
        <v>0.00011471239692271236</v>
      </c>
      <c r="I266" t="s">
        <v>108</v>
      </c>
      <c r="J266">
        <v>0</v>
      </c>
      <c r="K266">
        <v>0</v>
      </c>
      <c r="M266">
        <v>0</v>
      </c>
      <c r="N266">
        <v>0</v>
      </c>
      <c r="O266" t="s">
        <v>30</v>
      </c>
    </row>
    <row r="267" spans="2:15" x14ac:dyDescent="0.25">
      <c r="B267" t="s">
        <v>114</v>
      </c>
      <c r="C267" t="s">
        <v>108</v>
      </c>
      <c r="D267">
        <v>26</v>
      </c>
      <c r="E267">
        <v>120.11</v>
      </c>
      <c r="F267">
        <v>3122.86</v>
      </c>
      <c r="G267">
        <v>0.00007244492895749768</v>
      </c>
      <c r="I267" t="s">
        <v>108</v>
      </c>
      <c r="J267">
        <v>0</v>
      </c>
      <c r="K267">
        <v>0</v>
      </c>
      <c r="M267">
        <v>0</v>
      </c>
      <c r="N267">
        <v>0</v>
      </c>
      <c r="O267" t="s">
        <v>30</v>
      </c>
    </row>
    <row r="268" spans="2:15" x14ac:dyDescent="0.25">
      <c r="B268" t="s">
        <v>115</v>
      </c>
      <c r="C268" t="s">
        <v>108</v>
      </c>
      <c r="D268">
        <v>59</v>
      </c>
      <c r="E268">
        <v>789.47</v>
      </c>
      <c r="F268">
        <v>46578.73</v>
      </c>
      <c r="G268">
        <v>0.0010805456491102597</v>
      </c>
      <c r="I268" t="s">
        <v>108</v>
      </c>
      <c r="J268">
        <v>0</v>
      </c>
      <c r="K268">
        <v>0</v>
      </c>
      <c r="M268">
        <f>K268+L268</f>
        <v>0</v>
      </c>
      <c r="N268">
        <f>M268/43106674.89</f>
        <v>0</v>
      </c>
      <c r="O268" t="s">
        <v>30</v>
      </c>
    </row>
    <row r="269" spans="2:15" x14ac:dyDescent="0.25">
      <c r="B269" t="s">
        <v>116</v>
      </c>
      <c r="K269">
        <v>0</v>
      </c>
      <c r="M269">
        <f>K269+L269</f>
        <v>0</v>
      </c>
      <c r="N269">
        <f>M269/43106674.89</f>
        <v>0</v>
      </c>
    </row>
    <row r="270" spans="2:15" x14ac:dyDescent="0.25">
      <c r="B270" t="s">
        <v>117</v>
      </c>
      <c r="C270" t="s">
        <v>108</v>
      </c>
      <c r="D270">
        <v>65</v>
      </c>
      <c r="E270">
        <v>78.49</v>
      </c>
      <c r="F270">
        <v>5101.849999999999</v>
      </c>
      <c r="G270">
        <v>0.00011835406031708417</v>
      </c>
      <c r="I270" t="s">
        <v>108</v>
      </c>
      <c r="J270">
        <v>0</v>
      </c>
      <c r="K270">
        <v>0</v>
      </c>
      <c r="M270">
        <f>K270+L270</f>
        <v>0</v>
      </c>
      <c r="N270">
        <f>M270/43106674.89</f>
        <v>0</v>
      </c>
      <c r="O270" t="s">
        <v>30</v>
      </c>
    </row>
    <row r="271" spans="2:15" x14ac:dyDescent="0.25">
      <c r="B271" t="s">
        <v>118</v>
      </c>
      <c r="C271" t="s">
        <v>108</v>
      </c>
      <c r="D271">
        <v>20</v>
      </c>
      <c r="E271">
        <v>187.88</v>
      </c>
      <c r="F271">
        <v>3757.6</v>
      </c>
      <c r="G271">
        <v>0.00008716979469162666</v>
      </c>
      <c r="I271" t="s">
        <v>108</v>
      </c>
      <c r="J271">
        <v>0</v>
      </c>
      <c r="K271">
        <v>0</v>
      </c>
      <c r="M271">
        <f>K271+L271</f>
        <v>0</v>
      </c>
      <c r="N271">
        <f>M271/43106674.89</f>
        <v>0</v>
      </c>
      <c r="O271" t="s">
        <v>30</v>
      </c>
    </row>
    <row r="272" spans="1:15" x14ac:dyDescent="0.25">
      <c r="A272" t="s">
        <v>167</v>
      </c>
      <c r="B272" t="s">
        <v>120</v>
      </c>
    </row>
    <row r="273" spans="2:15" x14ac:dyDescent="0.25">
      <c r="B273" t="s">
        <v>121</v>
      </c>
      <c r="C273" t="s">
        <v>90</v>
      </c>
      <c r="D273">
        <v>20</v>
      </c>
      <c r="E273">
        <v>1389.91</v>
      </c>
      <c r="F273">
        <v>27798.2</v>
      </c>
      <c r="G273">
        <v>0.0006448699666800023</v>
      </c>
      <c r="I273" t="s">
        <v>90</v>
      </c>
      <c r="J273">
        <v>0</v>
      </c>
      <c r="K273">
        <v>0</v>
      </c>
      <c r="M273">
        <v>0</v>
      </c>
      <c r="N273">
        <v>0</v>
      </c>
      <c r="O273" t="s">
        <v>30</v>
      </c>
    </row>
    <row r="274" spans="2:15" x14ac:dyDescent="0.25">
      <c r="B274" t="s">
        <v>122</v>
      </c>
      <c r="C274" t="s">
        <v>75</v>
      </c>
      <c r="D274">
        <v>7</v>
      </c>
      <c r="E274">
        <v>2523.2200000000003</v>
      </c>
      <c r="F274">
        <v>17662.54</v>
      </c>
      <c r="G274">
        <v>0.00040974025589010106</v>
      </c>
      <c r="I274" t="s">
        <v>75</v>
      </c>
      <c r="J274">
        <v>0</v>
      </c>
      <c r="K274">
        <v>0</v>
      </c>
      <c r="M274">
        <f>K274+L274</f>
        <v>0</v>
      </c>
      <c r="N274">
        <f>M274/43106674.89</f>
        <v>0</v>
      </c>
      <c r="O274" t="s">
        <v>30</v>
      </c>
    </row>
    <row r="275" spans="2:15" x14ac:dyDescent="0.25">
      <c r="B275" t="s">
        <v>123</v>
      </c>
      <c r="C275" t="s">
        <v>124</v>
      </c>
      <c r="D275">
        <v>15</v>
      </c>
      <c r="E275">
        <v>277.99</v>
      </c>
      <c r="F275">
        <v>4169.85</v>
      </c>
      <c r="G275">
        <v>0.00009673327879361281</v>
      </c>
      <c r="I275" t="s">
        <v>124</v>
      </c>
      <c r="J275">
        <v>0</v>
      </c>
      <c r="K275">
        <v>0</v>
      </c>
      <c r="M275">
        <f>K275+L275</f>
        <v>0</v>
      </c>
      <c r="N275">
        <f>M275/43106674.89</f>
        <v>0</v>
      </c>
      <c r="O275" t="s">
        <v>30</v>
      </c>
    </row>
    <row r="276" spans="2:15" x14ac:dyDescent="0.25">
      <c r="B276" t="s">
        <v>125</v>
      </c>
      <c r="C276" t="s">
        <v>126</v>
      </c>
      <c r="D276">
        <v>30</v>
      </c>
      <c r="E276">
        <v>374.21999999999997</v>
      </c>
      <c r="F276">
        <v>11226.599999999999</v>
      </c>
      <c r="G276">
        <v>0.0002604376243040813</v>
      </c>
      <c r="I276" t="s">
        <v>126</v>
      </c>
      <c r="J276">
        <v>0</v>
      </c>
      <c r="K276">
        <v>0</v>
      </c>
      <c r="M276">
        <f>K276+L276</f>
        <v>0</v>
      </c>
      <c r="N276">
        <f>M276/43106674.89</f>
        <v>0</v>
      </c>
      <c r="O276" t="s">
        <v>30</v>
      </c>
    </row>
    <row r="277" spans="2:15" x14ac:dyDescent="0.25">
      <c r="B277" t="s">
        <v>127</v>
      </c>
      <c r="C277" t="s">
        <v>75</v>
      </c>
      <c r="D277">
        <v>65</v>
      </c>
      <c r="E277">
        <v>171.07</v>
      </c>
      <c r="F277">
        <v>11119.55</v>
      </c>
      <c r="G277">
        <v>0.00025795425020312896</v>
      </c>
      <c r="I277" t="s">
        <v>75</v>
      </c>
      <c r="J277">
        <v>0</v>
      </c>
      <c r="K277">
        <v>0</v>
      </c>
      <c r="M277">
        <f>K277+L277</f>
        <v>0</v>
      </c>
      <c r="N277">
        <f>M277/43106674.89</f>
        <v>0</v>
      </c>
      <c r="O277" t="s">
        <v>30</v>
      </c>
    </row>
    <row r="278" spans="2:15" x14ac:dyDescent="0.25">
      <c r="B278" t="s">
        <v>128</v>
      </c>
      <c r="C278" t="s">
        <v>90</v>
      </c>
      <c r="D278">
        <v>32</v>
      </c>
      <c r="E278">
        <v>21.39</v>
      </c>
      <c r="F278">
        <v>684.48</v>
      </c>
      <c r="G278">
        <v>0.000015878747357495374</v>
      </c>
      <c r="I278" t="s">
        <v>90</v>
      </c>
      <c r="J278">
        <v>0</v>
      </c>
      <c r="K278">
        <v>0</v>
      </c>
      <c r="M278">
        <f>K278+L278</f>
        <v>0</v>
      </c>
      <c r="N278">
        <f>M278/43106674.89</f>
        <v>0</v>
      </c>
      <c r="O278" t="s">
        <v>30</v>
      </c>
    </row>
    <row r="279" spans="2:15" x14ac:dyDescent="0.25">
      <c r="B279" t="s">
        <v>129</v>
      </c>
      <c r="C279" t="s">
        <v>90</v>
      </c>
      <c r="D279">
        <v>32</v>
      </c>
      <c r="E279">
        <v>10.699999999999998</v>
      </c>
      <c r="F279">
        <v>342.3999999999999</v>
      </c>
      <c r="G279">
        <v>0.000007943085400897639</v>
      </c>
      <c r="I279" t="s">
        <v>90</v>
      </c>
      <c r="J279">
        <v>0</v>
      </c>
      <c r="K279">
        <v>0</v>
      </c>
      <c r="M279">
        <f>K279+L279</f>
        <v>0</v>
      </c>
      <c r="N279">
        <f>M279/43106674.89</f>
        <v>0</v>
      </c>
      <c r="O279" t="s">
        <v>30</v>
      </c>
    </row>
    <row r="280" spans="2:15" x14ac:dyDescent="0.25">
      <c r="B280" t="s">
        <v>130</v>
      </c>
      <c r="C280" t="s">
        <v>131</v>
      </c>
      <c r="D280">
        <v>1</v>
      </c>
      <c r="E280">
        <v>3432</v>
      </c>
      <c r="F280">
        <v>3432</v>
      </c>
      <c r="G280">
        <v>0.000079616440116474</v>
      </c>
      <c r="I280" t="s">
        <v>131</v>
      </c>
      <c r="J280">
        <v>0</v>
      </c>
      <c r="K280">
        <v>0</v>
      </c>
      <c r="M280">
        <f>K280+L280</f>
        <v>0</v>
      </c>
      <c r="N280">
        <f>M280/43106674.89</f>
        <v>0</v>
      </c>
      <c r="O280" t="s">
        <v>30</v>
      </c>
    </row>
    <row r="281" spans="2:15" x14ac:dyDescent="0.25">
      <c r="B281" t="s">
        <v>132</v>
      </c>
      <c r="C281" t="s">
        <v>90</v>
      </c>
      <c r="D281">
        <v>244</v>
      </c>
      <c r="E281">
        <v>42.780000000000015</v>
      </c>
      <c r="F281">
        <v>10438.320000000003</v>
      </c>
      <c r="G281">
        <v>0.00024215089720180455</v>
      </c>
      <c r="I281" t="s">
        <v>90</v>
      </c>
      <c r="J281">
        <v>0</v>
      </c>
      <c r="K281">
        <v>0</v>
      </c>
      <c r="M281">
        <v>0</v>
      </c>
      <c r="N281">
        <v>0</v>
      </c>
      <c r="O281" t="s">
        <v>30</v>
      </c>
    </row>
    <row r="282" spans="2:15" x14ac:dyDescent="0.25">
      <c r="B282" t="s">
        <v>133</v>
      </c>
      <c r="C282" t="s">
        <v>134</v>
      </c>
      <c r="D282">
        <v>5</v>
      </c>
      <c r="E282">
        <v>14497.769999999999</v>
      </c>
      <c r="F282">
        <v>72488.84999999999</v>
      </c>
      <c r="G282">
        <v>0.0016816154385597513</v>
      </c>
      <c r="I282" t="s">
        <v>134</v>
      </c>
      <c r="J282">
        <v>0</v>
      </c>
      <c r="K282">
        <v>0</v>
      </c>
      <c r="M282">
        <v>0</v>
      </c>
      <c r="N282">
        <v>0</v>
      </c>
      <c r="O282" t="s">
        <v>30</v>
      </c>
    </row>
    <row r="283" spans="2:15" x14ac:dyDescent="0.25">
      <c r="B283" t="s">
        <v>135</v>
      </c>
      <c r="C283" t="s">
        <v>134</v>
      </c>
      <c r="D283">
        <v>3</v>
      </c>
      <c r="E283">
        <v>18175.66</v>
      </c>
      <c r="F283">
        <v>54526.979999999996</v>
      </c>
      <c r="G283">
        <v>0.001264931246474993</v>
      </c>
      <c r="I283" t="s">
        <v>134</v>
      </c>
      <c r="J283">
        <v>0</v>
      </c>
      <c r="K283">
        <v>0</v>
      </c>
      <c r="M283">
        <f>K283+L283</f>
        <v>0</v>
      </c>
      <c r="N283">
        <f>M283/43106674.89</f>
        <v>0</v>
      </c>
      <c r="O283" t="s">
        <v>30</v>
      </c>
    </row>
    <row r="284" spans="2:15" x14ac:dyDescent="0.25">
      <c r="B284" t="s">
        <v>136</v>
      </c>
      <c r="C284" t="s">
        <v>134</v>
      </c>
      <c r="D284">
        <v>8</v>
      </c>
      <c r="E284">
        <v>812.5699999999999</v>
      </c>
      <c r="F284">
        <v>6500.5599999999995</v>
      </c>
      <c r="G284">
        <v>0.00015080170336933166</v>
      </c>
      <c r="I284" t="s">
        <v>134</v>
      </c>
      <c r="J284">
        <v>0</v>
      </c>
      <c r="K284">
        <v>0</v>
      </c>
      <c r="M284">
        <f>K284+L284</f>
        <v>0</v>
      </c>
      <c r="N284">
        <f>M284/43106674.89</f>
        <v>0</v>
      </c>
      <c r="O284" t="s">
        <v>30</v>
      </c>
    </row>
    <row r="285" spans="2:15" x14ac:dyDescent="0.25">
      <c r="B285" t="s">
        <v>137</v>
      </c>
      <c r="C285" t="s">
        <v>90</v>
      </c>
      <c r="D285">
        <v>98</v>
      </c>
      <c r="E285">
        <v>53.46999999999999</v>
      </c>
      <c r="F285">
        <v>5240.0599999999995</v>
      </c>
      <c r="G285">
        <v>0.00012156029230673973</v>
      </c>
      <c r="I285" t="s">
        <v>90</v>
      </c>
      <c r="J285">
        <v>0</v>
      </c>
      <c r="K285">
        <v>0</v>
      </c>
      <c r="M285">
        <f>K285+L285</f>
        <v>0</v>
      </c>
      <c r="N285">
        <f>M285/43106674.89</f>
        <v>0</v>
      </c>
      <c r="O285" t="s">
        <v>30</v>
      </c>
    </row>
    <row r="286" spans="2:15" x14ac:dyDescent="0.25">
      <c r="B286" t="s">
        <v>138</v>
      </c>
      <c r="C286" t="s">
        <v>90</v>
      </c>
      <c r="D286">
        <v>1</v>
      </c>
      <c r="E286">
        <v>213.84</v>
      </c>
      <c r="F286">
        <v>213.84</v>
      </c>
      <c r="G286">
        <v>0.000004960716653411073</v>
      </c>
      <c r="I286" t="s">
        <v>90</v>
      </c>
      <c r="J286">
        <v>0</v>
      </c>
      <c r="K286">
        <v>0</v>
      </c>
      <c r="M286">
        <f>K286+L286</f>
        <v>0</v>
      </c>
      <c r="N286">
        <f>M286/43106674.89</f>
        <v>0</v>
      </c>
      <c r="O286" t="s">
        <v>30</v>
      </c>
    </row>
    <row r="287" spans="1:15" x14ac:dyDescent="0.25">
      <c r="A287" t="s">
        <v>168</v>
      </c>
      <c r="B287" t="s">
        <v>140</v>
      </c>
      <c r="C287" t="s">
        <v>26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">
        <v>26</v>
      </c>
      <c r="J287">
        <v>0</v>
      </c>
      <c r="K287">
        <v>0</v>
      </c>
      <c r="M287">
        <f>K287+L287</f>
        <v>0</v>
      </c>
      <c r="N287">
        <f>M287/43106674.89</f>
        <v>0</v>
      </c>
      <c r="O287" t="s">
        <v>30</v>
      </c>
    </row>
    <row r="288" spans="1:15" x14ac:dyDescent="0.25">
      <c r="A288" t="s">
        <v>169</v>
      </c>
      <c r="B288" t="s">
        <v>142</v>
      </c>
      <c r="C288" t="s">
        <v>26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">
        <v>26</v>
      </c>
      <c r="J288">
        <v>0</v>
      </c>
      <c r="K288">
        <v>0</v>
      </c>
      <c r="M288">
        <f>K288+L288</f>
        <v>0</v>
      </c>
      <c r="N288">
        <f>M288/43106674.89</f>
        <v>0</v>
      </c>
      <c r="O288" t="s">
        <v>30</v>
      </c>
    </row>
    <row r="289" spans="1:15" x14ac:dyDescent="0.25">
      <c r="A289" t="s">
        <v>170</v>
      </c>
      <c r="B289" t="s">
        <v>144</v>
      </c>
      <c r="C289" t="s">
        <v>26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">
        <v>26</v>
      </c>
      <c r="J289">
        <v>0</v>
      </c>
      <c r="K289">
        <v>0</v>
      </c>
      <c r="M289">
        <f>K289+L289</f>
        <v>0</v>
      </c>
      <c r="N289">
        <f>M289/43106674.89</f>
        <v>0</v>
      </c>
      <c r="O289" t="s">
        <v>30</v>
      </c>
    </row>
    <row r="290" spans="1:15" x14ac:dyDescent="0.25">
      <c r="A290" t="s">
        <v>171</v>
      </c>
      <c r="B290" t="s">
        <v>172</v>
      </c>
      <c r="K290">
        <v>0</v>
      </c>
      <c r="M290">
        <f>K290+L290</f>
        <v>0</v>
      </c>
      <c r="N290">
        <f>M290/43106674.89</f>
        <v>0</v>
      </c>
    </row>
    <row r="291" spans="2:15" x14ac:dyDescent="0.25">
      <c r="B291" t="s">
        <v>173</v>
      </c>
      <c r="C291" t="s">
        <v>60</v>
      </c>
      <c r="D291">
        <v>3</v>
      </c>
      <c r="E291">
        <v>789317.19</v>
      </c>
      <c r="F291">
        <v>2367951.57</v>
      </c>
      <c r="G291">
        <v>0.054932364327393825</v>
      </c>
      <c r="I291" t="s">
        <v>60</v>
      </c>
      <c r="J291">
        <v>0</v>
      </c>
      <c r="K291">
        <v>0</v>
      </c>
      <c r="M291">
        <f>K291+L291</f>
        <v>0</v>
      </c>
      <c r="N291">
        <f>M291/43106674.89</f>
        <v>0</v>
      </c>
      <c r="O291" t="s">
        <v>30</v>
      </c>
    </row>
    <row r="292" spans="2:15" x14ac:dyDescent="0.25">
      <c r="B292" t="s">
        <v>164</v>
      </c>
      <c r="C292" t="s">
        <v>60</v>
      </c>
      <c r="D292">
        <v>6</v>
      </c>
      <c r="E292">
        <v>55087.33999999999</v>
      </c>
      <c r="F292">
        <v>330524.0399999999</v>
      </c>
      <c r="G292">
        <v>0.007667583752247976</v>
      </c>
      <c r="I292" t="s">
        <v>60</v>
      </c>
      <c r="J292">
        <v>0</v>
      </c>
      <c r="K292">
        <v>0</v>
      </c>
      <c r="M292">
        <v>0</v>
      </c>
      <c r="N292">
        <v>0</v>
      </c>
      <c r="O292" t="s">
        <v>30</v>
      </c>
    </row>
    <row r="293" spans="2:15" x14ac:dyDescent="0.25">
      <c r="B293" t="s">
        <v>165</v>
      </c>
      <c r="C293" t="s">
        <v>60</v>
      </c>
      <c r="D293">
        <v>4</v>
      </c>
      <c r="E293">
        <v>56222.86</v>
      </c>
      <c r="F293">
        <v>224891.44</v>
      </c>
      <c r="G293">
        <v>0.0052170908698914945</v>
      </c>
      <c r="I293" t="s">
        <v>60</v>
      </c>
      <c r="J293">
        <v>0</v>
      </c>
      <c r="K293">
        <v>0</v>
      </c>
      <c r="M293">
        <v>0</v>
      </c>
      <c r="N293">
        <v>0</v>
      </c>
      <c r="O293" t="s">
        <v>30</v>
      </c>
    </row>
    <row r="294" spans="2:15" x14ac:dyDescent="0.25">
      <c r="B294" t="s">
        <v>166</v>
      </c>
      <c r="C294" t="s">
        <v>60</v>
      </c>
      <c r="D294">
        <v>2</v>
      </c>
      <c r="E294">
        <v>87530.69</v>
      </c>
      <c r="F294">
        <v>175061.38</v>
      </c>
      <c r="G294">
        <v>0.004061120010919959</v>
      </c>
      <c r="I294" t="s">
        <v>60</v>
      </c>
      <c r="J294">
        <v>0</v>
      </c>
      <c r="K294">
        <v>0</v>
      </c>
      <c r="M294">
        <f>K294+L294</f>
        <v>0</v>
      </c>
      <c r="N294">
        <f>M294/43106674.89</f>
        <v>0</v>
      </c>
      <c r="O294" t="s">
        <v>30</v>
      </c>
    </row>
    <row r="295" spans="2:15" x14ac:dyDescent="0.25">
      <c r="B295" t="s">
        <v>64</v>
      </c>
      <c r="K295">
        <v>0</v>
      </c>
      <c r="M295">
        <f>K295+L295</f>
        <v>0</v>
      </c>
      <c r="N295">
        <f>M295/43106674.89</f>
        <v>0</v>
      </c>
    </row>
    <row r="296" spans="2:15" x14ac:dyDescent="0.25">
      <c r="B296" t="s">
        <v>151</v>
      </c>
      <c r="C296" t="s">
        <v>60</v>
      </c>
      <c r="D296">
        <v>12</v>
      </c>
      <c r="E296">
        <v>11760.720000000001</v>
      </c>
      <c r="F296">
        <v>141128.64</v>
      </c>
      <c r="G296">
        <v>0.00327393936925391</v>
      </c>
      <c r="I296" t="s">
        <v>60</v>
      </c>
      <c r="J296">
        <v>0</v>
      </c>
      <c r="K296">
        <v>0</v>
      </c>
      <c r="M296">
        <f>K296+L296</f>
        <v>0</v>
      </c>
      <c r="N296">
        <f>M296/43106674.89</f>
        <v>0</v>
      </c>
      <c r="O296" t="s">
        <v>30</v>
      </c>
    </row>
    <row r="297" spans="2:15" x14ac:dyDescent="0.25">
      <c r="B297" t="s">
        <v>66</v>
      </c>
      <c r="C297" t="s">
        <v>60</v>
      </c>
      <c r="D297">
        <v>2</v>
      </c>
      <c r="E297">
        <v>22345.370000000003</v>
      </c>
      <c r="F297">
        <v>44690.740000000005</v>
      </c>
      <c r="G297">
        <v>0.0010367475597234585</v>
      </c>
      <c r="I297" t="s">
        <v>60</v>
      </c>
      <c r="J297">
        <v>0</v>
      </c>
      <c r="K297">
        <v>0</v>
      </c>
      <c r="M297">
        <f>K297+L297</f>
        <v>0</v>
      </c>
      <c r="N297">
        <f>M297/43106674.89</f>
        <v>0</v>
      </c>
      <c r="O297" t="s">
        <v>30</v>
      </c>
    </row>
    <row r="298" spans="2:15" x14ac:dyDescent="0.25">
      <c r="B298" t="s">
        <v>67</v>
      </c>
      <c r="C298" t="s">
        <v>60</v>
      </c>
      <c r="D298">
        <v>4</v>
      </c>
      <c r="E298">
        <v>4351.47</v>
      </c>
      <c r="F298">
        <v>17405.88</v>
      </c>
      <c r="G298">
        <v>0.00040378618959630903</v>
      </c>
      <c r="I298" t="s">
        <v>60</v>
      </c>
      <c r="J298">
        <v>0</v>
      </c>
      <c r="K298">
        <v>0</v>
      </c>
      <c r="M298">
        <f>K298+L298</f>
        <v>0</v>
      </c>
      <c r="N298">
        <f>M298/43106674.89</f>
        <v>0</v>
      </c>
      <c r="O298" t="s">
        <v>30</v>
      </c>
    </row>
    <row r="299" spans="2:15" x14ac:dyDescent="0.25">
      <c r="B299" t="s">
        <v>68</v>
      </c>
      <c r="C299" t="s">
        <v>60</v>
      </c>
      <c r="D299">
        <v>1</v>
      </c>
      <c r="E299">
        <v>4939.510000000001</v>
      </c>
      <c r="F299">
        <v>4939.510000000001</v>
      </c>
      <c r="G299">
        <v>0.00011458805423068899</v>
      </c>
      <c r="I299" t="s">
        <v>60</v>
      </c>
      <c r="J299">
        <v>0</v>
      </c>
      <c r="K299">
        <v>0</v>
      </c>
      <c r="M299">
        <f>K299+L299</f>
        <v>0</v>
      </c>
      <c r="N299">
        <f>M299/43106674.89</f>
        <v>0</v>
      </c>
      <c r="O299" t="s">
        <v>30</v>
      </c>
    </row>
    <row r="300" spans="2:15" x14ac:dyDescent="0.25">
      <c r="B300" t="s">
        <v>152</v>
      </c>
      <c r="C300" t="s">
        <v>60</v>
      </c>
      <c r="D300">
        <v>3</v>
      </c>
      <c r="E300">
        <v>8232.51</v>
      </c>
      <c r="F300">
        <v>24697.53</v>
      </c>
      <c r="G300">
        <v>0.0005729398071881761</v>
      </c>
      <c r="I300" t="s">
        <v>60</v>
      </c>
      <c r="J300">
        <v>0</v>
      </c>
      <c r="K300">
        <v>0</v>
      </c>
      <c r="M300">
        <f>K300+L300</f>
        <v>0</v>
      </c>
      <c r="N300">
        <f>M300/43106674.89</f>
        <v>0</v>
      </c>
      <c r="O300" t="s">
        <v>30</v>
      </c>
    </row>
    <row r="301" spans="2:15" x14ac:dyDescent="0.25">
      <c r="B301" t="s">
        <v>153</v>
      </c>
      <c r="C301" t="s">
        <v>60</v>
      </c>
      <c r="D301">
        <v>3</v>
      </c>
      <c r="E301">
        <v>14112.87</v>
      </c>
      <c r="F301">
        <v>42338.61</v>
      </c>
      <c r="G301">
        <v>0.0009821822283449149</v>
      </c>
      <c r="I301" t="s">
        <v>60</v>
      </c>
      <c r="J301">
        <v>0</v>
      </c>
      <c r="K301">
        <v>0</v>
      </c>
      <c r="M301">
        <f>K301+L301</f>
        <v>0</v>
      </c>
      <c r="N301">
        <f>M301/43106674.89</f>
        <v>0</v>
      </c>
      <c r="O301" t="s">
        <v>30</v>
      </c>
    </row>
    <row r="302" spans="2:15" x14ac:dyDescent="0.25">
      <c r="B302" t="s">
        <v>71</v>
      </c>
      <c r="C302" t="s">
        <v>60</v>
      </c>
      <c r="D302">
        <v>3</v>
      </c>
      <c r="E302">
        <v>5997.970000000001</v>
      </c>
      <c r="F302">
        <v>17993.910000000003</v>
      </c>
      <c r="G302">
        <v>0.00041742746444528643</v>
      </c>
      <c r="I302" t="s">
        <v>60</v>
      </c>
      <c r="J302">
        <v>0</v>
      </c>
      <c r="K302">
        <v>0</v>
      </c>
      <c r="M302">
        <f>K302+L302</f>
        <v>0</v>
      </c>
      <c r="N302">
        <f>M302/43106674.89</f>
        <v>0</v>
      </c>
      <c r="O302" t="s">
        <v>30</v>
      </c>
    </row>
    <row r="303" spans="2:15" x14ac:dyDescent="0.25">
      <c r="B303" t="s">
        <v>72</v>
      </c>
      <c r="C303" t="s">
        <v>60</v>
      </c>
      <c r="D303">
        <v>1</v>
      </c>
      <c r="E303">
        <v>39751.22</v>
      </c>
      <c r="F303">
        <v>39751.22</v>
      </c>
      <c r="G303">
        <v>0.0009221592735101353</v>
      </c>
      <c r="I303" t="s">
        <v>60</v>
      </c>
      <c r="J303">
        <v>0</v>
      </c>
      <c r="K303">
        <v>0</v>
      </c>
      <c r="M303">
        <v>0</v>
      </c>
      <c r="N303">
        <v>0</v>
      </c>
      <c r="O303" t="s">
        <v>30</v>
      </c>
    </row>
    <row r="304" spans="2:15" x14ac:dyDescent="0.25">
      <c r="B304" t="s">
        <v>73</v>
      </c>
      <c r="K304">
        <v>0</v>
      </c>
      <c r="M304">
        <f>K304+L304</f>
        <v>0</v>
      </c>
      <c r="N304">
        <f>M304/43106674.89</f>
        <v>0</v>
      </c>
    </row>
    <row r="305" spans="2:15" x14ac:dyDescent="0.25">
      <c r="B305" t="s">
        <v>74</v>
      </c>
      <c r="C305" t="s">
        <v>75</v>
      </c>
      <c r="D305">
        <v>8</v>
      </c>
      <c r="E305">
        <v>2120.33</v>
      </c>
      <c r="F305">
        <v>16962.64</v>
      </c>
      <c r="G305">
        <v>0.00039350379131040405</v>
      </c>
      <c r="I305" t="s">
        <v>75</v>
      </c>
      <c r="J305">
        <v>0</v>
      </c>
      <c r="K305">
        <v>0</v>
      </c>
      <c r="M305">
        <v>0</v>
      </c>
      <c r="N305">
        <v>0</v>
      </c>
      <c r="O305" t="s">
        <v>30</v>
      </c>
    </row>
    <row r="306" spans="2:15" x14ac:dyDescent="0.25">
      <c r="B306" t="s">
        <v>76</v>
      </c>
      <c r="C306" t="s">
        <v>75</v>
      </c>
      <c r="D306">
        <v>12</v>
      </c>
      <c r="E306">
        <v>2952.3500000000004</v>
      </c>
      <c r="F306">
        <v>35428.200000000004</v>
      </c>
      <c r="G306">
        <v>0.0008218727167058463</v>
      </c>
      <c r="I306" t="s">
        <v>75</v>
      </c>
      <c r="J306">
        <v>0</v>
      </c>
      <c r="K306">
        <v>0</v>
      </c>
      <c r="M306">
        <f>K306+L306</f>
        <v>0</v>
      </c>
      <c r="N306">
        <f>M306/43106674.89</f>
        <v>0</v>
      </c>
      <c r="O306" t="s">
        <v>30</v>
      </c>
    </row>
    <row r="307" spans="2:15" x14ac:dyDescent="0.25">
      <c r="B307" t="s">
        <v>77</v>
      </c>
      <c r="C307" t="s">
        <v>75</v>
      </c>
      <c r="D307">
        <v>10</v>
      </c>
      <c r="E307">
        <v>4696.92</v>
      </c>
      <c r="F307">
        <v>46969.2</v>
      </c>
      <c r="G307">
        <v>0.0010896038750345836</v>
      </c>
      <c r="I307" t="s">
        <v>75</v>
      </c>
      <c r="J307">
        <v>0</v>
      </c>
      <c r="K307">
        <v>0</v>
      </c>
      <c r="M307">
        <v>0</v>
      </c>
      <c r="N307">
        <v>0</v>
      </c>
      <c r="O307" t="s">
        <v>30</v>
      </c>
    </row>
    <row r="308" spans="2:15" x14ac:dyDescent="0.25">
      <c r="B308" t="s">
        <v>78</v>
      </c>
      <c r="C308" t="s">
        <v>75</v>
      </c>
      <c r="D308">
        <v>14</v>
      </c>
      <c r="E308">
        <v>6775.950000000002</v>
      </c>
      <c r="F308">
        <v>94863.30000000002</v>
      </c>
      <c r="G308">
        <v>0.002200663823922235</v>
      </c>
      <c r="I308" t="s">
        <v>75</v>
      </c>
      <c r="J308">
        <v>0</v>
      </c>
      <c r="K308">
        <v>0</v>
      </c>
      <c r="M308">
        <f>K308+L308</f>
        <v>0</v>
      </c>
      <c r="N308">
        <f>M308/43106674.89</f>
        <v>0</v>
      </c>
      <c r="O308" t="s">
        <v>30</v>
      </c>
    </row>
    <row r="309" spans="2:15" x14ac:dyDescent="0.25">
      <c r="B309" t="s">
        <v>79</v>
      </c>
      <c r="C309" t="s">
        <v>75</v>
      </c>
      <c r="D309">
        <v>16</v>
      </c>
      <c r="E309">
        <v>8642.33</v>
      </c>
      <c r="F309">
        <v>138277.28</v>
      </c>
      <c r="G309">
        <v>0.0032077927688196122</v>
      </c>
      <c r="I309" t="s">
        <v>75</v>
      </c>
      <c r="J309">
        <v>0</v>
      </c>
      <c r="K309">
        <v>0</v>
      </c>
      <c r="M309">
        <v>0</v>
      </c>
      <c r="N309">
        <v>0</v>
      </c>
      <c r="O309" t="s">
        <v>30</v>
      </c>
    </row>
    <row r="310" spans="2:15" x14ac:dyDescent="0.25">
      <c r="B310" t="s">
        <v>80</v>
      </c>
      <c r="C310" t="s">
        <v>75</v>
      </c>
      <c r="D310">
        <v>2</v>
      </c>
      <c r="E310">
        <v>10870.01</v>
      </c>
      <c r="F310">
        <v>21740.02</v>
      </c>
      <c r="G310">
        <v>0.0005043307110900196</v>
      </c>
      <c r="I310" t="s">
        <v>75</v>
      </c>
      <c r="J310">
        <v>0</v>
      </c>
      <c r="K310">
        <v>0</v>
      </c>
      <c r="M310">
        <f>K310+L310</f>
        <v>0</v>
      </c>
      <c r="N310">
        <f>M310/43106674.89</f>
        <v>0</v>
      </c>
      <c r="O310" t="s">
        <v>30</v>
      </c>
    </row>
    <row r="311" spans="2:15" x14ac:dyDescent="0.25">
      <c r="B311" t="s">
        <v>81</v>
      </c>
      <c r="C311" t="s">
        <v>75</v>
      </c>
      <c r="D311">
        <v>5</v>
      </c>
      <c r="E311">
        <v>15566.920000000002</v>
      </c>
      <c r="F311">
        <v>77834.6</v>
      </c>
      <c r="G311">
        <v>0.0018056275553291693</v>
      </c>
      <c r="I311" t="s">
        <v>75</v>
      </c>
      <c r="J311">
        <v>0</v>
      </c>
      <c r="K311">
        <v>0</v>
      </c>
      <c r="M311">
        <v>0</v>
      </c>
      <c r="N311">
        <v>0</v>
      </c>
      <c r="O311" t="s">
        <v>30</v>
      </c>
    </row>
    <row r="312" spans="2:15" x14ac:dyDescent="0.25">
      <c r="B312" t="s">
        <v>82</v>
      </c>
      <c r="C312" t="s">
        <v>75</v>
      </c>
      <c r="D312">
        <v>2</v>
      </c>
      <c r="E312">
        <v>21015.33</v>
      </c>
      <c r="F312">
        <v>42030.66</v>
      </c>
      <c r="G312">
        <v>0.0009750383231194287</v>
      </c>
      <c r="I312" t="s">
        <v>75</v>
      </c>
      <c r="J312">
        <v>0</v>
      </c>
      <c r="K312">
        <v>0</v>
      </c>
      <c r="M312">
        <v>0</v>
      </c>
      <c r="N312">
        <v>0</v>
      </c>
      <c r="O312" t="s">
        <v>30</v>
      </c>
    </row>
    <row r="313" spans="2:15" x14ac:dyDescent="0.25">
      <c r="B313" t="s">
        <v>83</v>
      </c>
      <c r="C313" t="s">
        <v>75</v>
      </c>
      <c r="D313">
        <v>14</v>
      </c>
      <c r="E313">
        <v>27039.769999999997</v>
      </c>
      <c r="F313">
        <v>378556.77999999997</v>
      </c>
      <c r="G313">
        <v>0.008781859908378561</v>
      </c>
      <c r="I313" t="s">
        <v>75</v>
      </c>
      <c r="J313">
        <v>0</v>
      </c>
      <c r="K313">
        <v>0</v>
      </c>
      <c r="M313">
        <f>K313+L313</f>
        <v>0</v>
      </c>
      <c r="N313">
        <f>M313/43106674.89</f>
        <v>0</v>
      </c>
      <c r="O313" t="s">
        <v>30</v>
      </c>
    </row>
    <row r="314" spans="2:15" x14ac:dyDescent="0.25">
      <c r="B314" t="s">
        <v>84</v>
      </c>
      <c r="K314">
        <v>0</v>
      </c>
      <c r="M314">
        <f>K314+L314</f>
        <v>0</v>
      </c>
      <c r="N314">
        <f>M314/43106674.89</f>
        <v>0</v>
      </c>
    </row>
    <row r="315" spans="2:15" x14ac:dyDescent="0.25">
      <c r="B315" t="s">
        <v>74</v>
      </c>
      <c r="C315" t="s">
        <v>75</v>
      </c>
      <c r="D315">
        <v>16</v>
      </c>
      <c r="E315">
        <v>433.56999999999994</v>
      </c>
      <c r="F315">
        <v>6937.119999999999</v>
      </c>
      <c r="G315">
        <v>0.00016092913725547617</v>
      </c>
      <c r="I315" t="s">
        <v>75</v>
      </c>
      <c r="J315">
        <v>0</v>
      </c>
      <c r="K315">
        <v>0</v>
      </c>
      <c r="M315">
        <v>0</v>
      </c>
      <c r="N315">
        <v>0</v>
      </c>
      <c r="O315" t="s">
        <v>30</v>
      </c>
    </row>
    <row r="316" spans="2:15" x14ac:dyDescent="0.25">
      <c r="B316" t="s">
        <v>76</v>
      </c>
      <c r="C316" t="s">
        <v>75</v>
      </c>
      <c r="D316">
        <v>24</v>
      </c>
      <c r="E316">
        <v>441.8299999999999</v>
      </c>
      <c r="F316">
        <v>10603.919999999998</v>
      </c>
      <c r="G316">
        <v>0.0002459925296270049</v>
      </c>
      <c r="I316" t="s">
        <v>75</v>
      </c>
      <c r="J316">
        <v>0</v>
      </c>
      <c r="K316">
        <v>0</v>
      </c>
      <c r="M316">
        <v>0</v>
      </c>
      <c r="N316">
        <v>0</v>
      </c>
      <c r="O316" t="s">
        <v>30</v>
      </c>
    </row>
    <row r="317" spans="2:15" x14ac:dyDescent="0.25">
      <c r="B317" t="s">
        <v>77</v>
      </c>
      <c r="C317" t="s">
        <v>75</v>
      </c>
      <c r="D317">
        <v>19</v>
      </c>
      <c r="E317">
        <v>516.15</v>
      </c>
      <c r="F317">
        <v>9806.85</v>
      </c>
      <c r="G317">
        <v>0.00022750188978911513</v>
      </c>
      <c r="I317" t="s">
        <v>75</v>
      </c>
      <c r="J317">
        <v>0</v>
      </c>
      <c r="K317">
        <v>0</v>
      </c>
      <c r="M317">
        <f>K317+L317</f>
        <v>0</v>
      </c>
      <c r="N317">
        <f>M317/43106674.89</f>
        <v>0</v>
      </c>
      <c r="O317" t="s">
        <v>30</v>
      </c>
    </row>
    <row r="318" spans="2:15" x14ac:dyDescent="0.25">
      <c r="B318" t="s">
        <v>78</v>
      </c>
      <c r="C318" t="s">
        <v>75</v>
      </c>
      <c r="D318">
        <v>27</v>
      </c>
      <c r="E318">
        <v>629.7099999999999</v>
      </c>
      <c r="F318">
        <v>17002.17</v>
      </c>
      <c r="G318">
        <v>0.00039442081866407656</v>
      </c>
      <c r="I318" t="s">
        <v>75</v>
      </c>
      <c r="J318">
        <v>0</v>
      </c>
      <c r="K318">
        <v>0</v>
      </c>
      <c r="M318">
        <f>K318+L318</f>
        <v>0</v>
      </c>
      <c r="N318">
        <f>M318/43106674.89</f>
        <v>0</v>
      </c>
      <c r="O318" t="s">
        <v>30</v>
      </c>
    </row>
    <row r="319" spans="2:15" x14ac:dyDescent="0.25">
      <c r="B319" t="s">
        <v>79</v>
      </c>
      <c r="C319" t="s">
        <v>75</v>
      </c>
      <c r="D319">
        <v>31</v>
      </c>
      <c r="E319">
        <v>708.16</v>
      </c>
      <c r="F319">
        <v>21952.96</v>
      </c>
      <c r="G319">
        <v>0.0005092705493063372</v>
      </c>
      <c r="I319" t="s">
        <v>75</v>
      </c>
      <c r="J319">
        <v>0</v>
      </c>
      <c r="K319">
        <v>0</v>
      </c>
      <c r="M319">
        <v>0</v>
      </c>
      <c r="N319">
        <v>0</v>
      </c>
      <c r="O319" t="s">
        <v>30</v>
      </c>
    </row>
    <row r="320" spans="2:15" x14ac:dyDescent="0.25">
      <c r="B320" t="s">
        <v>80</v>
      </c>
      <c r="C320" t="s">
        <v>75</v>
      </c>
      <c r="D320">
        <v>4</v>
      </c>
      <c r="E320">
        <v>784.55</v>
      </c>
      <c r="F320">
        <v>3138.2</v>
      </c>
      <c r="G320">
        <v>0.00007280079031862434</v>
      </c>
      <c r="I320" t="s">
        <v>75</v>
      </c>
      <c r="J320">
        <v>0</v>
      </c>
      <c r="K320">
        <v>0</v>
      </c>
      <c r="M320">
        <v>0</v>
      </c>
      <c r="N320">
        <v>0</v>
      </c>
      <c r="O320" t="s">
        <v>30</v>
      </c>
    </row>
    <row r="321" spans="2:15" x14ac:dyDescent="0.25">
      <c r="B321" t="s">
        <v>81</v>
      </c>
      <c r="C321" t="s">
        <v>75</v>
      </c>
      <c r="D321">
        <v>10</v>
      </c>
      <c r="E321">
        <v>846.49</v>
      </c>
      <c r="F321">
        <v>8464.9</v>
      </c>
      <c r="G321">
        <v>0.00019637098016956318</v>
      </c>
      <c r="I321" t="s">
        <v>75</v>
      </c>
      <c r="J321">
        <v>0</v>
      </c>
      <c r="K321">
        <v>0</v>
      </c>
      <c r="M321">
        <f>K321+L321</f>
        <v>0</v>
      </c>
      <c r="N321">
        <f>M321/43106674.89</f>
        <v>0</v>
      </c>
      <c r="O321" t="s">
        <v>30</v>
      </c>
    </row>
    <row r="322" spans="2:15" x14ac:dyDescent="0.25">
      <c r="B322" t="s">
        <v>82</v>
      </c>
      <c r="C322" t="s">
        <v>75</v>
      </c>
      <c r="D322">
        <v>4</v>
      </c>
      <c r="E322">
        <v>896.03</v>
      </c>
      <c r="F322">
        <v>3584.12</v>
      </c>
      <c r="G322">
        <v>0.00008314535995054103</v>
      </c>
      <c r="I322" t="s">
        <v>75</v>
      </c>
      <c r="J322">
        <v>0</v>
      </c>
      <c r="K322">
        <v>0</v>
      </c>
      <c r="M322">
        <v>0</v>
      </c>
      <c r="N322">
        <v>0</v>
      </c>
      <c r="O322" t="s">
        <v>30</v>
      </c>
    </row>
    <row r="323" spans="2:15" x14ac:dyDescent="0.25">
      <c r="B323" t="s">
        <v>83</v>
      </c>
      <c r="C323" t="s">
        <v>75</v>
      </c>
      <c r="D323">
        <v>27</v>
      </c>
      <c r="E323">
        <v>1011.66</v>
      </c>
      <c r="F323">
        <v>27314.82</v>
      </c>
      <c r="G323">
        <v>0.000633656390099728</v>
      </c>
      <c r="I323" t="s">
        <v>75</v>
      </c>
      <c r="J323">
        <v>0</v>
      </c>
      <c r="K323">
        <v>0</v>
      </c>
      <c r="M323">
        <v>0</v>
      </c>
      <c r="N323">
        <v>0</v>
      </c>
      <c r="O323" t="s">
        <v>30</v>
      </c>
    </row>
    <row r="324" spans="2:15" x14ac:dyDescent="0.25">
      <c r="B324" t="s">
        <v>85</v>
      </c>
      <c r="C324" t="s">
        <v>26</v>
      </c>
      <c r="D324">
        <v>1</v>
      </c>
      <c r="E324">
        <v>96659.96999999999</v>
      </c>
      <c r="F324">
        <v>96659.96999999999</v>
      </c>
      <c r="G324">
        <v>0.00224234344789195</v>
      </c>
      <c r="I324" t="s">
        <v>26</v>
      </c>
      <c r="J324">
        <v>0</v>
      </c>
      <c r="K324">
        <v>0</v>
      </c>
      <c r="M324">
        <f>K324+L324</f>
        <v>0</v>
      </c>
      <c r="N324">
        <f>M324/43106674.89</f>
        <v>0</v>
      </c>
      <c r="O324" t="s">
        <v>30</v>
      </c>
    </row>
    <row r="325" spans="2:15" x14ac:dyDescent="0.25">
      <c r="B325" t="s">
        <v>86</v>
      </c>
      <c r="C325" t="s">
        <v>87</v>
      </c>
      <c r="D325">
        <v>24</v>
      </c>
      <c r="E325">
        <v>3207.48</v>
      </c>
      <c r="F325">
        <v>76979.52</v>
      </c>
      <c r="G325">
        <v>0.001785791184229287</v>
      </c>
      <c r="I325" t="s">
        <v>87</v>
      </c>
      <c r="J325">
        <v>0</v>
      </c>
      <c r="K325">
        <v>0</v>
      </c>
      <c r="M325">
        <f>K325+L325</f>
        <v>0</v>
      </c>
      <c r="N325">
        <f>M325/43106674.89</f>
        <v>0</v>
      </c>
      <c r="O325" t="s">
        <v>30</v>
      </c>
    </row>
    <row r="326" spans="2:15" x14ac:dyDescent="0.25">
      <c r="B326" t="s">
        <v>88</v>
      </c>
      <c r="C326" t="s">
        <v>26</v>
      </c>
      <c r="D326">
        <v>1</v>
      </c>
      <c r="E326">
        <v>32219.999999999996</v>
      </c>
      <c r="F326">
        <v>32219.999999999996</v>
      </c>
      <c r="G326">
        <v>0.0007474480479466178</v>
      </c>
      <c r="I326" t="s">
        <v>26</v>
      </c>
      <c r="J326">
        <v>0</v>
      </c>
      <c r="K326">
        <v>0</v>
      </c>
      <c r="M326">
        <f>K326+L326</f>
        <v>0</v>
      </c>
      <c r="N326">
        <f>M326/43106674.89</f>
        <v>0</v>
      </c>
      <c r="O326" t="s">
        <v>30</v>
      </c>
    </row>
    <row r="327" spans="2:15" x14ac:dyDescent="0.25">
      <c r="B327" t="s">
        <v>89</v>
      </c>
      <c r="C327" t="s">
        <v>90</v>
      </c>
      <c r="D327">
        <v>3</v>
      </c>
      <c r="E327">
        <v>9622.41</v>
      </c>
      <c r="F327">
        <v>28867.23</v>
      </c>
      <c r="G327">
        <v>0.0006696696062422733</v>
      </c>
      <c r="I327" t="s">
        <v>90</v>
      </c>
      <c r="J327">
        <v>0</v>
      </c>
      <c r="K327">
        <v>0</v>
      </c>
      <c r="M327">
        <f>K327+L327</f>
        <v>0</v>
      </c>
      <c r="N327">
        <f>M327/43106674.89</f>
        <v>0</v>
      </c>
      <c r="O327" t="s">
        <v>30</v>
      </c>
    </row>
    <row r="328" spans="2:15" x14ac:dyDescent="0.25">
      <c r="B328" t="s">
        <v>91</v>
      </c>
    </row>
    <row r="329" spans="2:15" x14ac:dyDescent="0.25">
      <c r="B329" t="s">
        <v>92</v>
      </c>
      <c r="C329" t="s">
        <v>75</v>
      </c>
      <c r="D329">
        <v>31</v>
      </c>
      <c r="E329">
        <v>404.15</v>
      </c>
      <c r="F329">
        <v>12528.65</v>
      </c>
      <c r="G329">
        <v>0.00029064292321248896</v>
      </c>
      <c r="I329" t="s">
        <v>75</v>
      </c>
      <c r="J329">
        <v>0</v>
      </c>
      <c r="K329">
        <v>0</v>
      </c>
      <c r="M329">
        <v>0</v>
      </c>
      <c r="N329">
        <v>0</v>
      </c>
      <c r="O329" t="s">
        <v>30</v>
      </c>
    </row>
    <row r="330" spans="2:15" x14ac:dyDescent="0.25">
      <c r="B330" t="s">
        <v>93</v>
      </c>
      <c r="C330" t="s">
        <v>75</v>
      </c>
      <c r="D330">
        <v>38</v>
      </c>
      <c r="E330">
        <v>641.83</v>
      </c>
      <c r="F330">
        <v>24389.54</v>
      </c>
      <c r="G330">
        <v>0.0005657949740321526</v>
      </c>
      <c r="I330" t="s">
        <v>75</v>
      </c>
      <c r="J330">
        <v>0</v>
      </c>
      <c r="K330">
        <v>0</v>
      </c>
      <c r="M330">
        <v>0</v>
      </c>
      <c r="N330">
        <v>0</v>
      </c>
      <c r="O330" t="s">
        <v>30</v>
      </c>
    </row>
    <row r="331" spans="2:15" x14ac:dyDescent="0.25">
      <c r="B331" t="s">
        <v>94</v>
      </c>
      <c r="K331">
        <v>0</v>
      </c>
      <c r="M331">
        <f>K331+L331</f>
        <v>0</v>
      </c>
      <c r="N331">
        <f>M331/43106674.89</f>
        <v>0</v>
      </c>
    </row>
    <row r="332" spans="2:15" x14ac:dyDescent="0.25">
      <c r="B332" t="s">
        <v>95</v>
      </c>
      <c r="C332" t="s">
        <v>75</v>
      </c>
      <c r="D332">
        <v>61</v>
      </c>
      <c r="E332">
        <v>427.66999999999996</v>
      </c>
      <c r="F332">
        <v>26087.87</v>
      </c>
      <c r="G332">
        <v>0.0006051932807754542</v>
      </c>
      <c r="I332" t="s">
        <v>75</v>
      </c>
      <c r="J332">
        <v>0</v>
      </c>
      <c r="K332">
        <v>0</v>
      </c>
      <c r="M332">
        <f>K332+L332</f>
        <v>0</v>
      </c>
      <c r="N332">
        <f>M332/43106674.89</f>
        <v>0</v>
      </c>
      <c r="O332" t="s">
        <v>30</v>
      </c>
    </row>
    <row r="333" spans="2:15" x14ac:dyDescent="0.25">
      <c r="B333" t="s">
        <v>96</v>
      </c>
      <c r="C333" t="s">
        <v>75</v>
      </c>
      <c r="D333">
        <v>75</v>
      </c>
      <c r="E333">
        <v>812.5699999999999</v>
      </c>
      <c r="F333">
        <v>60942.74999999999</v>
      </c>
      <c r="G333">
        <v>0.0014137659690874843</v>
      </c>
      <c r="I333" t="s">
        <v>75</v>
      </c>
      <c r="J333">
        <v>0</v>
      </c>
      <c r="K333">
        <v>0</v>
      </c>
      <c r="M333">
        <f>K333+L333</f>
        <v>0</v>
      </c>
      <c r="N333">
        <f>M333/43106674.89</f>
        <v>0</v>
      </c>
      <c r="O333" t="s">
        <v>30</v>
      </c>
    </row>
    <row r="334" spans="2:15" x14ac:dyDescent="0.25">
      <c r="B334" t="s">
        <v>97</v>
      </c>
    </row>
    <row r="335" spans="2:15" x14ac:dyDescent="0.25">
      <c r="B335" t="s">
        <v>98</v>
      </c>
      <c r="C335" t="s">
        <v>90</v>
      </c>
      <c r="D335">
        <v>10</v>
      </c>
      <c r="E335">
        <v>30473.159999999996</v>
      </c>
      <c r="F335">
        <v>304731.6</v>
      </c>
      <c r="G335">
        <v>0.007069243934439775</v>
      </c>
      <c r="I335" t="s">
        <v>90</v>
      </c>
      <c r="J335">
        <v>0</v>
      </c>
      <c r="K335">
        <v>0</v>
      </c>
      <c r="M335">
        <f>K335+L335</f>
        <v>0</v>
      </c>
      <c r="N335">
        <f>M335/43106674.89</f>
        <v>0</v>
      </c>
      <c r="O335" t="s">
        <v>30</v>
      </c>
    </row>
    <row r="336" spans="2:15" x14ac:dyDescent="0.25">
      <c r="B336" t="s">
        <v>99</v>
      </c>
      <c r="K336">
        <v>0</v>
      </c>
      <c r="M336">
        <f>K336+L336</f>
        <v>0</v>
      </c>
      <c r="N336">
        <f>M336/43106674.89</f>
        <v>0</v>
      </c>
    </row>
    <row r="337" spans="2:15" x14ac:dyDescent="0.25">
      <c r="B337" t="s">
        <v>154</v>
      </c>
      <c r="C337" t="s">
        <v>75</v>
      </c>
      <c r="D337">
        <v>2</v>
      </c>
      <c r="E337">
        <v>213.84</v>
      </c>
      <c r="F337">
        <v>427.68</v>
      </c>
      <c r="G337">
        <v>0.000009921433306822145</v>
      </c>
      <c r="I337" t="s">
        <v>75</v>
      </c>
      <c r="J337">
        <v>0</v>
      </c>
      <c r="K337">
        <v>0</v>
      </c>
      <c r="M337">
        <f>K337+L337</f>
        <v>0</v>
      </c>
      <c r="N337">
        <f>M337/43106674.89</f>
        <v>0</v>
      </c>
      <c r="O337" t="s">
        <v>30</v>
      </c>
    </row>
    <row r="338" spans="2:15" x14ac:dyDescent="0.25">
      <c r="B338" t="s">
        <v>100</v>
      </c>
      <c r="C338" t="s">
        <v>75</v>
      </c>
      <c r="D338">
        <v>11</v>
      </c>
      <c r="E338">
        <v>192.45999999999995</v>
      </c>
      <c r="F338">
        <v>2117.0599999999995</v>
      </c>
      <c r="G338">
        <v>0.00004911211559236084</v>
      </c>
      <c r="I338" t="s">
        <v>75</v>
      </c>
      <c r="J338">
        <v>0</v>
      </c>
      <c r="K338">
        <v>0</v>
      </c>
      <c r="M338">
        <f>K338+L338</f>
        <v>0</v>
      </c>
      <c r="N338">
        <f>M338/43106674.89</f>
        <v>0</v>
      </c>
      <c r="O338" t="s">
        <v>30</v>
      </c>
    </row>
    <row r="339" spans="2:15" x14ac:dyDescent="0.25">
      <c r="B339" t="s">
        <v>101</v>
      </c>
      <c r="C339" t="s">
        <v>75</v>
      </c>
      <c r="D339">
        <v>3</v>
      </c>
      <c r="E339">
        <v>53.47</v>
      </c>
      <c r="F339">
        <v>160.41</v>
      </c>
      <c r="G339">
        <v>0.0000037212334379614206</v>
      </c>
      <c r="I339" t="s">
        <v>75</v>
      </c>
      <c r="J339">
        <v>0</v>
      </c>
      <c r="K339">
        <v>0</v>
      </c>
      <c r="M339">
        <v>0</v>
      </c>
      <c r="N339">
        <v>0</v>
      </c>
      <c r="O339" t="s">
        <v>30</v>
      </c>
    </row>
    <row r="340" spans="2:15" x14ac:dyDescent="0.25">
      <c r="B340" t="s">
        <v>102</v>
      </c>
      <c r="C340" t="s">
        <v>75</v>
      </c>
      <c r="D340">
        <v>3</v>
      </c>
      <c r="E340">
        <v>203.14999999999998</v>
      </c>
      <c r="F340">
        <v>609.4499999999999</v>
      </c>
      <c r="G340">
        <v>0.00001413818165180218</v>
      </c>
      <c r="I340" t="s">
        <v>75</v>
      </c>
      <c r="J340">
        <v>0</v>
      </c>
      <c r="K340">
        <v>0</v>
      </c>
      <c r="M340">
        <f>K340+L340</f>
        <v>0</v>
      </c>
      <c r="N340">
        <f>M340/43106674.89</f>
        <v>0</v>
      </c>
      <c r="O340" t="s">
        <v>30</v>
      </c>
    </row>
    <row r="341" spans="2:15" x14ac:dyDescent="0.25">
      <c r="B341" t="s">
        <v>103</v>
      </c>
      <c r="C341" t="s">
        <v>75</v>
      </c>
      <c r="D341">
        <v>7</v>
      </c>
      <c r="E341">
        <v>43.63</v>
      </c>
      <c r="F341">
        <v>305.41</v>
      </c>
      <c r="G341">
        <v>0.000007084981636355574</v>
      </c>
      <c r="I341" t="s">
        <v>75</v>
      </c>
      <c r="J341">
        <v>0</v>
      </c>
      <c r="K341">
        <v>0</v>
      </c>
      <c r="M341">
        <f>K341+L341</f>
        <v>0</v>
      </c>
      <c r="N341">
        <f>M341/43106674.89</f>
        <v>0</v>
      </c>
      <c r="O341" t="s">
        <v>30</v>
      </c>
    </row>
    <row r="342" spans="2:15" x14ac:dyDescent="0.25">
      <c r="B342" t="s">
        <v>104</v>
      </c>
      <c r="C342" t="s">
        <v>75</v>
      </c>
      <c r="D342">
        <v>6</v>
      </c>
      <c r="E342">
        <v>213.84</v>
      </c>
      <c r="F342">
        <v>1283.04</v>
      </c>
      <c r="G342">
        <v>0.00002976429992046643</v>
      </c>
      <c r="I342" t="s">
        <v>75</v>
      </c>
      <c r="J342">
        <v>0</v>
      </c>
      <c r="K342">
        <v>0</v>
      </c>
      <c r="M342">
        <v>0</v>
      </c>
      <c r="N342">
        <v>0</v>
      </c>
      <c r="O342" t="s">
        <v>30</v>
      </c>
    </row>
    <row r="343" spans="2:15" x14ac:dyDescent="0.25">
      <c r="B343" t="s">
        <v>105</v>
      </c>
    </row>
    <row r="344" spans="2:15" x14ac:dyDescent="0.25">
      <c r="B344" t="s">
        <v>106</v>
      </c>
      <c r="K344">
        <v>0</v>
      </c>
      <c r="M344">
        <f>K344+L344</f>
        <v>0</v>
      </c>
      <c r="N344">
        <f>M344/43106674.89</f>
        <v>0</v>
      </c>
    </row>
    <row r="345" spans="2:15" x14ac:dyDescent="0.25">
      <c r="B345" t="s">
        <v>174</v>
      </c>
      <c r="C345" t="s">
        <v>108</v>
      </c>
      <c r="D345">
        <v>78</v>
      </c>
      <c r="E345">
        <v>763.3899999999999</v>
      </c>
      <c r="F345">
        <v>59544.41999999999</v>
      </c>
      <c r="G345">
        <v>0.0013813271413753428</v>
      </c>
      <c r="I345" t="s">
        <v>108</v>
      </c>
      <c r="J345">
        <v>0</v>
      </c>
      <c r="K345">
        <v>0</v>
      </c>
      <c r="M345">
        <f>K345+L345</f>
        <v>0</v>
      </c>
      <c r="N345">
        <f>M345/43106674.89</f>
        <v>0</v>
      </c>
      <c r="O345" t="s">
        <v>30</v>
      </c>
    </row>
    <row r="346" spans="2:15" x14ac:dyDescent="0.25">
      <c r="B346" t="s">
        <v>109</v>
      </c>
      <c r="C346" t="s">
        <v>108</v>
      </c>
      <c r="D346">
        <v>654</v>
      </c>
      <c r="E346">
        <v>65.86999999999999</v>
      </c>
      <c r="F346">
        <v>43078.979999999996</v>
      </c>
      <c r="G346">
        <v>0.0009993575266459152</v>
      </c>
      <c r="I346" t="s">
        <v>108</v>
      </c>
      <c r="J346">
        <v>0</v>
      </c>
      <c r="K346">
        <v>0</v>
      </c>
      <c r="M346">
        <f>K346+L346</f>
        <v>0</v>
      </c>
      <c r="N346">
        <f>M346/43106674.89</f>
        <v>0</v>
      </c>
      <c r="O346" t="s">
        <v>30</v>
      </c>
    </row>
    <row r="347" spans="2:15" x14ac:dyDescent="0.25">
      <c r="B347" t="s">
        <v>110</v>
      </c>
      <c r="C347" t="s">
        <v>90</v>
      </c>
      <c r="D347">
        <v>32</v>
      </c>
      <c r="E347">
        <v>32.09</v>
      </c>
      <c r="F347">
        <v>1026.88</v>
      </c>
      <c r="G347">
        <v>0.000023821832758393013</v>
      </c>
      <c r="I347" t="s">
        <v>90</v>
      </c>
      <c r="J347">
        <v>0</v>
      </c>
      <c r="K347">
        <v>0</v>
      </c>
      <c r="M347">
        <f>K347+L347</f>
        <v>0</v>
      </c>
      <c r="N347">
        <f>M347/43106674.89</f>
        <v>0</v>
      </c>
      <c r="O347" t="s">
        <v>30</v>
      </c>
    </row>
    <row r="348" spans="2:15" x14ac:dyDescent="0.25">
      <c r="B348" t="s">
        <v>111</v>
      </c>
      <c r="K348">
        <v>0</v>
      </c>
      <c r="M348">
        <f>K348+L348</f>
        <v>0</v>
      </c>
      <c r="N348">
        <f>M348/43106674.89</f>
        <v>0</v>
      </c>
    </row>
    <row r="349" spans="2:15" x14ac:dyDescent="0.25">
      <c r="B349" t="s">
        <v>112</v>
      </c>
      <c r="C349" t="s">
        <v>108</v>
      </c>
      <c r="D349">
        <v>472</v>
      </c>
      <c r="E349">
        <v>80.84000000000002</v>
      </c>
      <c r="F349">
        <v>38156.48000000001</v>
      </c>
      <c r="G349">
        <v>0.0008851640748762934</v>
      </c>
      <c r="I349" t="s">
        <v>108</v>
      </c>
      <c r="J349">
        <v>0</v>
      </c>
      <c r="K349">
        <v>0</v>
      </c>
      <c r="M349">
        <f>K349+L349</f>
        <v>0</v>
      </c>
      <c r="N349">
        <f>M349/43106674.89</f>
        <v>0</v>
      </c>
      <c r="O349" t="s">
        <v>30</v>
      </c>
    </row>
    <row r="350" spans="2:15" x14ac:dyDescent="0.25">
      <c r="B350" t="s">
        <v>113</v>
      </c>
      <c r="C350" t="s">
        <v>108</v>
      </c>
      <c r="D350">
        <v>78</v>
      </c>
      <c r="E350">
        <v>77.05</v>
      </c>
      <c r="F350">
        <v>6009.9</v>
      </c>
      <c r="G350">
        <v>0.0001394192434312346</v>
      </c>
      <c r="I350" t="s">
        <v>108</v>
      </c>
      <c r="J350">
        <v>0</v>
      </c>
      <c r="K350">
        <v>0</v>
      </c>
      <c r="M350">
        <f>K350+L350</f>
        <v>0</v>
      </c>
      <c r="N350">
        <f>M350/43106674.89</f>
        <v>0</v>
      </c>
      <c r="O350" t="s">
        <v>30</v>
      </c>
    </row>
    <row r="351" spans="2:15" x14ac:dyDescent="0.25">
      <c r="B351" t="s">
        <v>114</v>
      </c>
      <c r="C351" t="s">
        <v>108</v>
      </c>
      <c r="D351">
        <v>26</v>
      </c>
      <c r="E351">
        <v>120.11</v>
      </c>
      <c r="F351">
        <v>3122.86</v>
      </c>
      <c r="G351">
        <v>0.00007244492895749768</v>
      </c>
      <c r="I351" t="s">
        <v>108</v>
      </c>
      <c r="J351">
        <v>0</v>
      </c>
      <c r="K351">
        <v>0</v>
      </c>
      <c r="M351">
        <f>K351+L351</f>
        <v>0</v>
      </c>
      <c r="N351">
        <f>M351/43106674.89</f>
        <v>0</v>
      </c>
      <c r="O351" t="s">
        <v>30</v>
      </c>
    </row>
    <row r="352" spans="2:15" x14ac:dyDescent="0.25">
      <c r="B352" t="s">
        <v>175</v>
      </c>
      <c r="C352" t="s">
        <v>108</v>
      </c>
      <c r="D352">
        <v>59</v>
      </c>
      <c r="E352">
        <v>938.2</v>
      </c>
      <c r="F352">
        <v>55353.8</v>
      </c>
      <c r="G352">
        <v>0.0012841120346501395</v>
      </c>
      <c r="I352" t="s">
        <v>108</v>
      </c>
      <c r="J352">
        <v>0</v>
      </c>
      <c r="K352">
        <v>0</v>
      </c>
      <c r="M352">
        <f>K352+L352</f>
        <v>0</v>
      </c>
      <c r="N352">
        <f>M352/43106674.89</f>
        <v>0</v>
      </c>
      <c r="O352" t="s">
        <v>30</v>
      </c>
    </row>
    <row r="353" spans="2:15" x14ac:dyDescent="0.25">
      <c r="B353" t="s">
        <v>116</v>
      </c>
      <c r="K353">
        <v>0</v>
      </c>
      <c r="M353">
        <f>K353+L353</f>
        <v>0</v>
      </c>
      <c r="N353">
        <f>M353/43106674.89</f>
        <v>0</v>
      </c>
    </row>
    <row r="354" spans="2:15" x14ac:dyDescent="0.25">
      <c r="B354" t="s">
        <v>117</v>
      </c>
      <c r="C354" t="s">
        <v>108</v>
      </c>
      <c r="D354">
        <v>78</v>
      </c>
      <c r="E354">
        <v>75.36</v>
      </c>
      <c r="F354">
        <v>5878.08</v>
      </c>
      <c r="G354">
        <v>0.00013636124834494275</v>
      </c>
      <c r="I354" t="s">
        <v>108</v>
      </c>
      <c r="J354">
        <v>0</v>
      </c>
      <c r="K354">
        <v>0</v>
      </c>
      <c r="M354">
        <f>K354+L354</f>
        <v>0</v>
      </c>
      <c r="N354">
        <f>M354/43106674.89</f>
        <v>0</v>
      </c>
      <c r="O354" t="s">
        <v>30</v>
      </c>
    </row>
    <row r="355" spans="2:15" x14ac:dyDescent="0.25">
      <c r="B355" t="s">
        <v>176</v>
      </c>
      <c r="C355" t="s">
        <v>108</v>
      </c>
      <c r="D355">
        <v>20</v>
      </c>
      <c r="E355">
        <v>311.01000000000005</v>
      </c>
      <c r="F355">
        <v>6220.200000000001</v>
      </c>
      <c r="G355">
        <v>0.000144297838232078</v>
      </c>
      <c r="I355" t="s">
        <v>108</v>
      </c>
      <c r="J355">
        <v>0</v>
      </c>
      <c r="K355">
        <v>0</v>
      </c>
      <c r="M355">
        <f>K355+L355</f>
        <v>0</v>
      </c>
      <c r="N355">
        <f>M355/43106674.89</f>
        <v>0</v>
      </c>
      <c r="O355" t="s">
        <v>30</v>
      </c>
    </row>
    <row r="356" spans="1:15" x14ac:dyDescent="0.25">
      <c r="A356" t="s">
        <v>177</v>
      </c>
      <c r="B356" t="s">
        <v>120</v>
      </c>
      <c r="K356">
        <v>0</v>
      </c>
      <c r="M356">
        <f>K356+L356</f>
        <v>0</v>
      </c>
      <c r="N356">
        <f>M356/43106674.89</f>
        <v>0</v>
      </c>
    </row>
    <row r="357" spans="2:15" x14ac:dyDescent="0.25">
      <c r="B357" t="s">
        <v>121</v>
      </c>
      <c r="C357" t="s">
        <v>90</v>
      </c>
      <c r="D357">
        <v>20</v>
      </c>
      <c r="E357">
        <v>1389.91</v>
      </c>
      <c r="F357">
        <v>27798.2</v>
      </c>
      <c r="G357">
        <v>0.0006448699666800023</v>
      </c>
      <c r="I357" t="s">
        <v>90</v>
      </c>
      <c r="J357">
        <v>0</v>
      </c>
      <c r="K357">
        <v>0</v>
      </c>
      <c r="M357">
        <f>K357+L357</f>
        <v>0</v>
      </c>
      <c r="N357">
        <f>M357/43106674.89</f>
        <v>0</v>
      </c>
      <c r="O357" t="s">
        <v>30</v>
      </c>
    </row>
    <row r="358" spans="2:15" x14ac:dyDescent="0.25">
      <c r="B358" t="s">
        <v>122</v>
      </c>
      <c r="C358" t="s">
        <v>75</v>
      </c>
      <c r="D358">
        <v>7</v>
      </c>
      <c r="E358">
        <v>2523.2200000000003</v>
      </c>
      <c r="F358">
        <v>17662.54</v>
      </c>
      <c r="G358">
        <v>0.00040974025589010106</v>
      </c>
      <c r="I358" t="s">
        <v>75</v>
      </c>
      <c r="J358">
        <v>0</v>
      </c>
      <c r="K358">
        <v>0</v>
      </c>
      <c r="M358">
        <v>0</v>
      </c>
      <c r="N358">
        <v>0</v>
      </c>
      <c r="O358" t="s">
        <v>30</v>
      </c>
    </row>
    <row r="359" spans="2:15" x14ac:dyDescent="0.25">
      <c r="B359" t="s">
        <v>123</v>
      </c>
      <c r="C359" t="s">
        <v>124</v>
      </c>
      <c r="D359">
        <v>24</v>
      </c>
      <c r="E359">
        <v>277.99000000000007</v>
      </c>
      <c r="F359">
        <v>6671.760000000002</v>
      </c>
      <c r="G359">
        <v>0.00015477324606978052</v>
      </c>
      <c r="I359" t="s">
        <v>124</v>
      </c>
      <c r="J359">
        <v>0</v>
      </c>
      <c r="K359">
        <v>0</v>
      </c>
      <c r="M359">
        <f>K359+L359</f>
        <v>0</v>
      </c>
      <c r="N359">
        <f>M359/43106674.89</f>
        <v>0</v>
      </c>
      <c r="O359" t="s">
        <v>30</v>
      </c>
    </row>
    <row r="360" spans="2:15" x14ac:dyDescent="0.25">
      <c r="B360" t="s">
        <v>125</v>
      </c>
      <c r="C360" t="s">
        <v>126</v>
      </c>
      <c r="D360">
        <v>47</v>
      </c>
      <c r="E360">
        <v>374.2199999999999</v>
      </c>
      <c r="F360">
        <v>17588.339999999997</v>
      </c>
      <c r="G360">
        <v>0.00040801894474306065</v>
      </c>
      <c r="I360" t="s">
        <v>126</v>
      </c>
      <c r="J360">
        <v>0</v>
      </c>
      <c r="K360">
        <v>0</v>
      </c>
      <c r="M360">
        <v>0</v>
      </c>
      <c r="N360">
        <v>0</v>
      </c>
      <c r="O360" t="s">
        <v>30</v>
      </c>
    </row>
    <row r="361" spans="2:15" x14ac:dyDescent="0.25">
      <c r="B361" t="s">
        <v>127</v>
      </c>
      <c r="C361" t="s">
        <v>75</v>
      </c>
      <c r="D361">
        <v>104</v>
      </c>
      <c r="E361">
        <v>171.07</v>
      </c>
      <c r="F361">
        <v>17791.28</v>
      </c>
      <c r="G361">
        <v>0.0004127268003250063</v>
      </c>
      <c r="I361" t="s">
        <v>75</v>
      </c>
      <c r="J361">
        <v>0</v>
      </c>
      <c r="K361">
        <v>0</v>
      </c>
      <c r="M361">
        <f>K361+L361</f>
        <v>0</v>
      </c>
      <c r="N361">
        <f>M361/43106674.89</f>
        <v>0</v>
      </c>
      <c r="O361" t="s">
        <v>30</v>
      </c>
    </row>
    <row r="362" spans="2:15" x14ac:dyDescent="0.25">
      <c r="B362" t="s">
        <v>128</v>
      </c>
      <c r="C362" t="s">
        <v>90</v>
      </c>
      <c r="D362">
        <v>32</v>
      </c>
      <c r="E362">
        <v>21.39</v>
      </c>
      <c r="F362">
        <v>684.48</v>
      </c>
      <c r="G362">
        <v>0.000015878747357495374</v>
      </c>
      <c r="I362" t="s">
        <v>90</v>
      </c>
      <c r="J362">
        <v>0</v>
      </c>
      <c r="K362">
        <v>0</v>
      </c>
      <c r="M362">
        <v>0</v>
      </c>
      <c r="N362">
        <v>0</v>
      </c>
      <c r="O362" t="s">
        <v>30</v>
      </c>
    </row>
    <row r="363" spans="2:15" x14ac:dyDescent="0.25">
      <c r="B363" t="s">
        <v>129</v>
      </c>
      <c r="C363" t="s">
        <v>90</v>
      </c>
      <c r="D363">
        <v>32</v>
      </c>
      <c r="E363">
        <v>10.699999999999998</v>
      </c>
      <c r="F363">
        <v>342.3999999999999</v>
      </c>
      <c r="G363">
        <v>0.000007943085400897639</v>
      </c>
      <c r="I363" t="s">
        <v>90</v>
      </c>
      <c r="J363">
        <v>0</v>
      </c>
      <c r="K363">
        <v>0</v>
      </c>
      <c r="M363">
        <f>K363+L363</f>
        <v>0</v>
      </c>
      <c r="N363">
        <f>M363/43106674.89</f>
        <v>0</v>
      </c>
      <c r="O363" t="s">
        <v>30</v>
      </c>
    </row>
    <row r="364" spans="2:15" x14ac:dyDescent="0.25">
      <c r="B364" t="s">
        <v>130</v>
      </c>
      <c r="C364" t="s">
        <v>131</v>
      </c>
      <c r="D364">
        <v>1</v>
      </c>
      <c r="E364">
        <v>3432</v>
      </c>
      <c r="F364">
        <v>3432</v>
      </c>
      <c r="G364">
        <v>0.000079616440116474</v>
      </c>
      <c r="I364" t="s">
        <v>131</v>
      </c>
      <c r="J364">
        <v>0</v>
      </c>
      <c r="K364">
        <v>0</v>
      </c>
      <c r="M364">
        <v>0</v>
      </c>
      <c r="N364">
        <v>0</v>
      </c>
      <c r="O364" t="s">
        <v>30</v>
      </c>
    </row>
    <row r="365" spans="2:15" x14ac:dyDescent="0.25">
      <c r="B365" t="s">
        <v>132</v>
      </c>
      <c r="C365" t="s">
        <v>90</v>
      </c>
      <c r="D365">
        <v>393</v>
      </c>
      <c r="E365">
        <v>42.78</v>
      </c>
      <c r="F365">
        <v>16812.54</v>
      </c>
      <c r="G365">
        <v>0.0003900217319684802</v>
      </c>
      <c r="I365" t="s">
        <v>90</v>
      </c>
      <c r="J365">
        <v>0</v>
      </c>
      <c r="K365">
        <v>0</v>
      </c>
      <c r="M365">
        <v>0</v>
      </c>
      <c r="N365">
        <v>0</v>
      </c>
      <c r="O365" t="s">
        <v>30</v>
      </c>
    </row>
    <row r="366" spans="2:15" x14ac:dyDescent="0.25">
      <c r="B366" t="s">
        <v>133</v>
      </c>
      <c r="C366" t="s">
        <v>134</v>
      </c>
      <c r="D366">
        <v>8</v>
      </c>
      <c r="E366">
        <v>14497.769999999999</v>
      </c>
      <c r="F366">
        <v>115982.15999999999</v>
      </c>
      <c r="G366">
        <v>0.002690584701695602</v>
      </c>
      <c r="I366" t="s">
        <v>134</v>
      </c>
      <c r="J366">
        <v>0</v>
      </c>
      <c r="K366">
        <v>0</v>
      </c>
      <c r="M366">
        <f>K366+L366</f>
        <v>0</v>
      </c>
      <c r="N366">
        <f>M366/43106674.89</f>
        <v>0</v>
      </c>
      <c r="O366" t="s">
        <v>30</v>
      </c>
    </row>
    <row r="367" spans="2:15" x14ac:dyDescent="0.25">
      <c r="B367" t="s">
        <v>135</v>
      </c>
      <c r="C367" t="s">
        <v>134</v>
      </c>
      <c r="D367">
        <v>4</v>
      </c>
      <c r="E367">
        <v>18175.66</v>
      </c>
      <c r="F367">
        <v>72702.64</v>
      </c>
      <c r="G367">
        <v>0.0016865749952999906</v>
      </c>
      <c r="I367" t="s">
        <v>134</v>
      </c>
      <c r="J367">
        <v>0</v>
      </c>
      <c r="K367">
        <v>0</v>
      </c>
      <c r="M367">
        <f>K367+L367</f>
        <v>0</v>
      </c>
      <c r="N367">
        <f>M367/43106674.89</f>
        <v>0</v>
      </c>
      <c r="O367" t="s">
        <v>30</v>
      </c>
    </row>
    <row r="368" spans="2:15" x14ac:dyDescent="0.25">
      <c r="B368" t="s">
        <v>136</v>
      </c>
      <c r="C368" t="s">
        <v>134</v>
      </c>
      <c r="D368">
        <v>12</v>
      </c>
      <c r="E368">
        <v>812.5699999999998</v>
      </c>
      <c r="F368">
        <v>9750.839999999998</v>
      </c>
      <c r="G368">
        <v>0.00022620255505399745</v>
      </c>
      <c r="I368" t="s">
        <v>134</v>
      </c>
      <c r="J368">
        <v>0</v>
      </c>
      <c r="K368">
        <v>0</v>
      </c>
      <c r="M368">
        <f>K368+L368</f>
        <v>0</v>
      </c>
      <c r="N368">
        <f>M368/43106674.89</f>
        <v>0</v>
      </c>
      <c r="O368" t="s">
        <v>30</v>
      </c>
    </row>
    <row r="369" spans="2:15" x14ac:dyDescent="0.25">
      <c r="B369" t="s">
        <v>137</v>
      </c>
      <c r="C369" t="s">
        <v>90</v>
      </c>
      <c r="D369">
        <v>158</v>
      </c>
      <c r="E369">
        <v>53.47</v>
      </c>
      <c r="F369">
        <v>8448.26</v>
      </c>
      <c r="G369">
        <v>0.0001959849610659682</v>
      </c>
      <c r="I369" t="s">
        <v>90</v>
      </c>
      <c r="J369">
        <v>0</v>
      </c>
      <c r="K369">
        <v>0</v>
      </c>
      <c r="M369">
        <f>K369+L369</f>
        <v>0</v>
      </c>
      <c r="N369">
        <f>M369/43106674.89</f>
        <v>0</v>
      </c>
      <c r="O369" t="s">
        <v>30</v>
      </c>
    </row>
    <row r="370" spans="2:15" x14ac:dyDescent="0.25">
      <c r="B370" t="s">
        <v>138</v>
      </c>
      <c r="C370" t="s">
        <v>90</v>
      </c>
      <c r="D370">
        <v>1</v>
      </c>
      <c r="E370">
        <v>213.84</v>
      </c>
      <c r="F370">
        <v>213.84</v>
      </c>
      <c r="G370">
        <v>0.000004960716653411073</v>
      </c>
      <c r="I370" t="s">
        <v>90</v>
      </c>
      <c r="J370">
        <v>0</v>
      </c>
      <c r="K370">
        <v>0</v>
      </c>
      <c r="M370">
        <v>0</v>
      </c>
      <c r="N370">
        <v>0</v>
      </c>
      <c r="O370" t="s">
        <v>30</v>
      </c>
    </row>
    <row r="371" spans="1:15" x14ac:dyDescent="0.25">
      <c r="A371" t="s">
        <v>178</v>
      </c>
      <c r="B371" t="s">
        <v>140</v>
      </c>
      <c r="C371" t="s">
        <v>26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">
        <v>26</v>
      </c>
      <c r="J371">
        <v>0</v>
      </c>
      <c r="K371">
        <v>0</v>
      </c>
      <c r="M371">
        <v>0</v>
      </c>
      <c r="N371">
        <v>0</v>
      </c>
      <c r="O371" t="s">
        <v>30</v>
      </c>
    </row>
    <row r="372" spans="1:15" x14ac:dyDescent="0.25">
      <c r="A372" t="s">
        <v>179</v>
      </c>
      <c r="B372" t="s">
        <v>142</v>
      </c>
      <c r="C372" t="s">
        <v>26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">
        <v>26</v>
      </c>
      <c r="J372">
        <v>0</v>
      </c>
      <c r="K372">
        <v>0</v>
      </c>
      <c r="M372">
        <f>K372+L372</f>
        <v>0</v>
      </c>
      <c r="N372">
        <f>M372/43106674.89</f>
        <v>0</v>
      </c>
      <c r="O372" t="s">
        <v>30</v>
      </c>
    </row>
    <row r="373" spans="1:15" x14ac:dyDescent="0.25">
      <c r="A373" t="s">
        <v>180</v>
      </c>
      <c r="B373" t="s">
        <v>144</v>
      </c>
      <c r="C373" t="s">
        <v>26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">
        <v>26</v>
      </c>
      <c r="J373">
        <v>0</v>
      </c>
      <c r="K373">
        <v>0</v>
      </c>
      <c r="M373">
        <f>K373+L373</f>
        <v>0</v>
      </c>
      <c r="N373">
        <f>M373/43106674.89</f>
        <v>0</v>
      </c>
      <c r="O373" t="s">
        <v>30</v>
      </c>
    </row>
    <row r="374" spans="1:15" x14ac:dyDescent="0.25">
      <c r="A374" t="s">
        <v>181</v>
      </c>
      <c r="B374" t="s">
        <v>182</v>
      </c>
      <c r="K374">
        <v>0</v>
      </c>
      <c r="M374">
        <f>K374+L374</f>
        <v>0</v>
      </c>
      <c r="N374">
        <f>M374/43106674.89</f>
        <v>0</v>
      </c>
    </row>
    <row r="375" spans="2:15" x14ac:dyDescent="0.25">
      <c r="B375" t="s">
        <v>183</v>
      </c>
      <c r="K375">
        <v>0</v>
      </c>
      <c r="M375">
        <f>K375+L375</f>
        <v>0</v>
      </c>
      <c r="N375">
        <f>M375/43106674.89</f>
        <v>0</v>
      </c>
    </row>
    <row r="376" spans="1:15" x14ac:dyDescent="0.25">
      <c r="A376" t="s">
        <v>184</v>
      </c>
      <c r="B376" t="s">
        <v>185</v>
      </c>
      <c r="K376">
        <v>0</v>
      </c>
      <c r="M376">
        <f>K376+L376</f>
        <v>0</v>
      </c>
      <c r="N376">
        <f>M376/43106674.89</f>
        <v>0</v>
      </c>
    </row>
    <row r="377" spans="1:15" x14ac:dyDescent="0.25">
      <c r="A377" t="s">
        <v>186</v>
      </c>
      <c r="B377" t="s">
        <v>187</v>
      </c>
      <c r="K377">
        <v>0</v>
      </c>
      <c r="M377">
        <f>K377+L377</f>
        <v>0</v>
      </c>
      <c r="N377">
        <f>M377/43106674.89</f>
        <v>0</v>
      </c>
    </row>
    <row r="378" spans="2:15" x14ac:dyDescent="0.25">
      <c r="B378" t="s">
        <v>188</v>
      </c>
      <c r="K378">
        <v>0</v>
      </c>
      <c r="M378">
        <f>K378+L378</f>
        <v>0</v>
      </c>
      <c r="N378">
        <f>M378/43106674.89</f>
        <v>0</v>
      </c>
    </row>
    <row r="379" spans="2:15" x14ac:dyDescent="0.25">
      <c r="B379" t="s">
        <v>189</v>
      </c>
      <c r="C379" t="s">
        <v>108</v>
      </c>
      <c r="D379">
        <v>726</v>
      </c>
      <c r="E379">
        <v>7092.3600000000015</v>
      </c>
      <c r="F379">
        <v>5149053.360000001</v>
      </c>
      <c r="G379">
        <v>0.11944909629748525</v>
      </c>
      <c r="I379" t="s">
        <v>108</v>
      </c>
      <c r="J379">
        <v>0</v>
      </c>
      <c r="K379">
        <v>0</v>
      </c>
      <c r="M379">
        <f>K379+L379</f>
        <v>0</v>
      </c>
      <c r="N379">
        <f>M379/43106674.89</f>
        <v>0</v>
      </c>
      <c r="O379" t="s">
        <v>30</v>
      </c>
    </row>
    <row r="380" spans="2:15" x14ac:dyDescent="0.25">
      <c r="B380" t="s">
        <v>190</v>
      </c>
      <c r="C380" t="s">
        <v>108</v>
      </c>
      <c r="D380">
        <v>117</v>
      </c>
      <c r="E380">
        <v>5509.16</v>
      </c>
      <c r="F380">
        <v>644571.72</v>
      </c>
      <c r="G380">
        <v>0.014952944564729793</v>
      </c>
      <c r="I380" t="s">
        <v>108</v>
      </c>
      <c r="J380">
        <v>0</v>
      </c>
      <c r="K380">
        <v>0</v>
      </c>
      <c r="M380">
        <v>0</v>
      </c>
      <c r="N380">
        <v>0</v>
      </c>
      <c r="O380" t="s">
        <v>30</v>
      </c>
    </row>
    <row r="381" spans="2:15" x14ac:dyDescent="0.25">
      <c r="B381" t="s">
        <v>191</v>
      </c>
      <c r="C381" t="s">
        <v>108</v>
      </c>
      <c r="D381">
        <v>390</v>
      </c>
      <c r="E381">
        <v>1126.48</v>
      </c>
      <c r="F381">
        <v>439327.2</v>
      </c>
      <c r="G381">
        <v>0.010191628120727913</v>
      </c>
      <c r="I381" t="s">
        <v>108</v>
      </c>
      <c r="J381">
        <v>0</v>
      </c>
      <c r="K381">
        <v>0</v>
      </c>
      <c r="M381">
        <v>0</v>
      </c>
      <c r="N381">
        <v>0</v>
      </c>
      <c r="O381" t="s">
        <v>30</v>
      </c>
    </row>
    <row r="382" spans="2:15" x14ac:dyDescent="0.25">
      <c r="B382" t="s">
        <v>116</v>
      </c>
      <c r="K382">
        <v>0</v>
      </c>
      <c r="M382">
        <f>K382+L382</f>
        <v>0</v>
      </c>
      <c r="N382">
        <f>M382/43106674.89</f>
        <v>0</v>
      </c>
    </row>
    <row r="383" spans="2:15" x14ac:dyDescent="0.25">
      <c r="B383" t="s">
        <v>192</v>
      </c>
      <c r="C383" t="s">
        <v>108</v>
      </c>
      <c r="D383">
        <v>242</v>
      </c>
      <c r="E383">
        <v>2129.76</v>
      </c>
      <c r="F383">
        <v>515401.92000000004</v>
      </c>
      <c r="G383">
        <v>0.01195642951619922</v>
      </c>
      <c r="I383" t="s">
        <v>108</v>
      </c>
      <c r="J383">
        <v>0</v>
      </c>
      <c r="K383">
        <v>0</v>
      </c>
      <c r="M383">
        <f>K383+L383</f>
        <v>0</v>
      </c>
      <c r="N383">
        <f>M383/43106674.89</f>
        <v>0</v>
      </c>
      <c r="O383" t="s">
        <v>30</v>
      </c>
    </row>
    <row r="384" spans="2:15" x14ac:dyDescent="0.25">
      <c r="B384" t="s">
        <v>193</v>
      </c>
      <c r="C384" t="s">
        <v>108</v>
      </c>
      <c r="D384">
        <v>39</v>
      </c>
      <c r="E384">
        <v>823.6899999999999</v>
      </c>
      <c r="F384">
        <v>32123.909999999996</v>
      </c>
      <c r="G384">
        <v>0.0007452189268129371</v>
      </c>
      <c r="I384" t="s">
        <v>108</v>
      </c>
      <c r="J384">
        <v>0</v>
      </c>
      <c r="K384">
        <v>0</v>
      </c>
      <c r="M384">
        <f>K384+L384</f>
        <v>0</v>
      </c>
      <c r="N384">
        <f>M384/43106674.89</f>
        <v>0</v>
      </c>
      <c r="O384" t="s">
        <v>30</v>
      </c>
    </row>
    <row r="385" spans="2:15" x14ac:dyDescent="0.25">
      <c r="B385" t="s">
        <v>194</v>
      </c>
      <c r="C385" t="s">
        <v>108</v>
      </c>
      <c r="D385">
        <v>130</v>
      </c>
      <c r="E385">
        <v>358.86999999999995</v>
      </c>
      <c r="F385">
        <v>46653.09999999999</v>
      </c>
      <c r="G385">
        <v>0.0010822709039620842</v>
      </c>
      <c r="I385" t="s">
        <v>108</v>
      </c>
      <c r="J385">
        <v>0</v>
      </c>
      <c r="K385">
        <v>0</v>
      </c>
      <c r="M385">
        <f>K385+L385</f>
        <v>0</v>
      </c>
      <c r="N385">
        <f>M385/43106674.89</f>
        <v>0</v>
      </c>
      <c r="O385" t="s">
        <v>30</v>
      </c>
    </row>
    <row r="386" spans="2:15" x14ac:dyDescent="0.25">
      <c r="B386" t="s">
        <v>195</v>
      </c>
      <c r="K386">
        <v>0</v>
      </c>
      <c r="M386">
        <f>K386+L386</f>
        <v>0</v>
      </c>
      <c r="N386">
        <f>M386/43106674.89</f>
        <v>0</v>
      </c>
    </row>
    <row r="387" spans="2:15" x14ac:dyDescent="0.25">
      <c r="B387" t="s">
        <v>196</v>
      </c>
      <c r="C387" t="s">
        <v>75</v>
      </c>
      <c r="D387">
        <v>94</v>
      </c>
      <c r="E387">
        <v>9301.67</v>
      </c>
      <c r="F387">
        <v>874356.98</v>
      </c>
      <c r="G387">
        <v>0.02028356356019553</v>
      </c>
      <c r="I387" t="s">
        <v>75</v>
      </c>
      <c r="J387">
        <v>0</v>
      </c>
      <c r="K387">
        <v>0</v>
      </c>
      <c r="M387">
        <f>K387+L387</f>
        <v>0</v>
      </c>
      <c r="N387">
        <f>M387/43106674.89</f>
        <v>0</v>
      </c>
      <c r="O387" t="s">
        <v>30</v>
      </c>
    </row>
    <row r="388" spans="2:15" x14ac:dyDescent="0.25">
      <c r="B388" t="s">
        <v>197</v>
      </c>
      <c r="C388" t="s">
        <v>75</v>
      </c>
      <c r="D388">
        <v>45</v>
      </c>
      <c r="E388">
        <v>2672.8999999999996</v>
      </c>
      <c r="F388">
        <v>120280.49999999999</v>
      </c>
      <c r="G388">
        <v>0.0027902987253582605</v>
      </c>
      <c r="I388" t="s">
        <v>75</v>
      </c>
      <c r="J388">
        <v>0</v>
      </c>
      <c r="K388">
        <v>0</v>
      </c>
      <c r="M388">
        <f>K388+L388</f>
        <v>0</v>
      </c>
      <c r="N388">
        <f>M388/43106674.89</f>
        <v>0</v>
      </c>
      <c r="O388" t="s">
        <v>30</v>
      </c>
    </row>
    <row r="389" spans="1:15" x14ac:dyDescent="0.25">
      <c r="A389" t="s">
        <v>198</v>
      </c>
      <c r="B389" t="s">
        <v>199</v>
      </c>
      <c r="K389">
        <v>0</v>
      </c>
      <c r="M389">
        <f>K389+L389</f>
        <v>0</v>
      </c>
      <c r="N389">
        <f>M389/43106674.89</f>
        <v>0</v>
      </c>
    </row>
    <row r="390" spans="2:15" x14ac:dyDescent="0.25">
      <c r="B390" t="s">
        <v>200</v>
      </c>
      <c r="C390" t="s">
        <v>201</v>
      </c>
      <c r="D390">
        <v>1</v>
      </c>
      <c r="E390">
        <v>772225.4500000001</v>
      </c>
      <c r="F390">
        <v>772225.4500000001</v>
      </c>
      <c r="G390">
        <v>0.01791428942201113</v>
      </c>
      <c r="I390" t="s">
        <v>201</v>
      </c>
      <c r="J390">
        <v>0</v>
      </c>
      <c r="K390">
        <v>0</v>
      </c>
      <c r="M390">
        <f>K390+L390</f>
        <v>0</v>
      </c>
      <c r="N390">
        <f>M390/43106674.89</f>
        <v>0</v>
      </c>
      <c r="O390" t="s">
        <v>30</v>
      </c>
    </row>
    <row r="391" spans="2:15" x14ac:dyDescent="0.25">
      <c r="B391" t="s">
        <v>202</v>
      </c>
    </row>
    <row r="392" spans="2:15" x14ac:dyDescent="0.25">
      <c r="B392" t="s">
        <v>203</v>
      </c>
    </row>
    <row r="393" spans="2:15" x14ac:dyDescent="0.25">
      <c r="B393" t="s">
        <v>204</v>
      </c>
      <c r="K393">
        <v>0</v>
      </c>
      <c r="M393">
        <f>K393+L393</f>
        <v>0</v>
      </c>
      <c r="N393">
        <f>M393/43106674.89</f>
        <v>0</v>
      </c>
    </row>
    <row r="394" spans="2:15" x14ac:dyDescent="0.25">
      <c r="B394" t="s">
        <v>205</v>
      </c>
      <c r="C394" t="s">
        <v>201</v>
      </c>
      <c r="D394">
        <v>1</v>
      </c>
      <c r="E394">
        <v>125827.10999999999</v>
      </c>
      <c r="F394">
        <v>125827.10999999999</v>
      </c>
      <c r="G394">
        <v>0.002918970445321674</v>
      </c>
      <c r="I394" t="s">
        <v>201</v>
      </c>
      <c r="J394">
        <v>0</v>
      </c>
      <c r="K394">
        <v>0</v>
      </c>
      <c r="M394">
        <f>K394+L394</f>
        <v>0</v>
      </c>
      <c r="N394">
        <f>M394/43106674.89</f>
        <v>0</v>
      </c>
      <c r="O394" t="s">
        <v>30</v>
      </c>
    </row>
    <row r="395" spans="2:15" x14ac:dyDescent="0.25">
      <c r="B395" t="s">
        <v>206</v>
      </c>
      <c r="K395">
        <v>0</v>
      </c>
      <c r="M395">
        <f>K395+L395</f>
        <v>0</v>
      </c>
      <c r="N395">
        <f>M395/43106674.89</f>
        <v>0</v>
      </c>
    </row>
    <row r="396" spans="2:15" x14ac:dyDescent="0.25">
      <c r="B396" t="s">
        <v>207</v>
      </c>
      <c r="K396">
        <v>0</v>
      </c>
      <c r="M396">
        <f>K396+L396</f>
        <v>0</v>
      </c>
      <c r="N396">
        <f>M396/43106674.89</f>
        <v>0</v>
      </c>
    </row>
    <row r="397" spans="2:15" x14ac:dyDescent="0.25">
      <c r="B397" t="s">
        <v>208</v>
      </c>
      <c r="K397">
        <v>0</v>
      </c>
      <c r="M397">
        <f>K397+L397</f>
        <v>0</v>
      </c>
      <c r="N397">
        <f>M397/43106674.89</f>
        <v>0</v>
      </c>
    </row>
    <row r="398" spans="2:15" x14ac:dyDescent="0.25">
      <c r="B398" t="s">
        <v>209</v>
      </c>
      <c r="K398">
        <v>0</v>
      </c>
      <c r="M398">
        <f>K398+L398</f>
        <v>0</v>
      </c>
      <c r="N398">
        <f>M398/43106674.89</f>
        <v>0</v>
      </c>
    </row>
    <row r="399" spans="2:15" x14ac:dyDescent="0.25">
      <c r="B399" t="s">
        <v>210</v>
      </c>
      <c r="C399" t="s">
        <v>201</v>
      </c>
      <c r="D399">
        <v>1</v>
      </c>
      <c r="E399">
        <v>135268.13</v>
      </c>
      <c r="F399">
        <v>135268.13</v>
      </c>
      <c r="G399">
        <v>0.0031379857143975587</v>
      </c>
      <c r="I399" t="s">
        <v>201</v>
      </c>
      <c r="J399">
        <v>0</v>
      </c>
      <c r="K399">
        <v>0</v>
      </c>
      <c r="M399">
        <f>K399+L399</f>
        <v>0</v>
      </c>
      <c r="N399">
        <f>M399/43106674.89</f>
        <v>0</v>
      </c>
      <c r="O399" t="s">
        <v>30</v>
      </c>
    </row>
    <row r="400" spans="2:15" x14ac:dyDescent="0.25">
      <c r="B400" t="s">
        <v>206</v>
      </c>
      <c r="K400">
        <v>0</v>
      </c>
      <c r="M400">
        <f>K400+L400</f>
        <v>0</v>
      </c>
      <c r="N400">
        <f>M400/43106674.89</f>
        <v>0</v>
      </c>
    </row>
    <row r="401" spans="2:15" x14ac:dyDescent="0.25">
      <c r="B401" t="s">
        <v>211</v>
      </c>
      <c r="K401">
        <v>0</v>
      </c>
      <c r="M401">
        <f>K401+L401</f>
        <v>0</v>
      </c>
      <c r="N401">
        <f>M401/43106674.89</f>
        <v>0</v>
      </c>
    </row>
    <row r="402" spans="2:15" x14ac:dyDescent="0.25">
      <c r="B402" t="s">
        <v>212</v>
      </c>
    </row>
    <row r="403" spans="2:15" x14ac:dyDescent="0.25">
      <c r="B403" t="s">
        <v>213</v>
      </c>
      <c r="K403">
        <v>0</v>
      </c>
      <c r="M403">
        <f>K403+L403</f>
        <v>0</v>
      </c>
      <c r="N403">
        <f>M403/43106674.89</f>
        <v>0</v>
      </c>
    </row>
    <row r="404" spans="2:15" x14ac:dyDescent="0.25">
      <c r="B404" t="s">
        <v>214</v>
      </c>
      <c r="C404" t="s">
        <v>201</v>
      </c>
      <c r="D404">
        <v>1</v>
      </c>
      <c r="E404">
        <v>120190.81999999999</v>
      </c>
      <c r="F404">
        <v>120190.81999999999</v>
      </c>
      <c r="G404">
        <v>0.0027882183050932123</v>
      </c>
      <c r="I404" t="s">
        <v>201</v>
      </c>
      <c r="J404">
        <v>0</v>
      </c>
      <c r="K404">
        <v>0</v>
      </c>
      <c r="M404">
        <v>0</v>
      </c>
      <c r="N404">
        <v>0</v>
      </c>
      <c r="O404" t="s">
        <v>30</v>
      </c>
    </row>
    <row r="405" spans="2:15" x14ac:dyDescent="0.25">
      <c r="B405" t="s">
        <v>206</v>
      </c>
      <c r="K405">
        <v>0</v>
      </c>
      <c r="M405">
        <f>K405+L405</f>
        <v>0</v>
      </c>
      <c r="N405">
        <f>M405/43106674.89</f>
        <v>0</v>
      </c>
    </row>
    <row r="406" spans="2:15" x14ac:dyDescent="0.25">
      <c r="B406" t="s">
        <v>207</v>
      </c>
    </row>
    <row r="407" spans="2:15" x14ac:dyDescent="0.25">
      <c r="B407" t="s">
        <v>215</v>
      </c>
      <c r="K407">
        <v>0</v>
      </c>
      <c r="M407">
        <f>K407+L407</f>
        <v>0</v>
      </c>
      <c r="N407">
        <f>M407/43106674.89</f>
        <v>0</v>
      </c>
    </row>
    <row r="408" spans="2:15" x14ac:dyDescent="0.25">
      <c r="B408" t="s">
        <v>216</v>
      </c>
    </row>
    <row r="409" spans="2:15" x14ac:dyDescent="0.25">
      <c r="B409" t="s">
        <v>217</v>
      </c>
      <c r="C409" t="s">
        <v>201</v>
      </c>
      <c r="D409">
        <v>1</v>
      </c>
      <c r="E409">
        <v>131472.25</v>
      </c>
      <c r="F409">
        <v>131472.25</v>
      </c>
      <c r="G409">
        <v>0.003049927890181556</v>
      </c>
      <c r="I409" t="s">
        <v>201</v>
      </c>
      <c r="J409">
        <v>0</v>
      </c>
      <c r="K409">
        <v>0</v>
      </c>
      <c r="M409">
        <f>K409+L409</f>
        <v>0</v>
      </c>
      <c r="N409">
        <f>M409/43106674.89</f>
        <v>0</v>
      </c>
      <c r="O409" t="s">
        <v>30</v>
      </c>
    </row>
    <row r="410" spans="2:15" x14ac:dyDescent="0.25">
      <c r="B410" t="s">
        <v>206</v>
      </c>
    </row>
    <row r="411" spans="2:15" x14ac:dyDescent="0.25">
      <c r="B411" t="s">
        <v>218</v>
      </c>
    </row>
    <row r="412" spans="2:15" x14ac:dyDescent="0.25">
      <c r="B412" t="s">
        <v>219</v>
      </c>
      <c r="K412">
        <v>0</v>
      </c>
      <c r="M412">
        <f>K412+L412</f>
        <v>0</v>
      </c>
      <c r="N412">
        <f>M412/43106674.89</f>
        <v>0</v>
      </c>
    </row>
    <row r="413" spans="2:15" x14ac:dyDescent="0.25">
      <c r="B413" t="s">
        <v>220</v>
      </c>
      <c r="K413">
        <v>0</v>
      </c>
      <c r="M413">
        <f>K413+L413</f>
        <v>0</v>
      </c>
      <c r="N413">
        <f>M413/43106674.89</f>
        <v>0</v>
      </c>
    </row>
    <row r="414" spans="2:15" x14ac:dyDescent="0.25">
      <c r="B414" t="s">
        <v>221</v>
      </c>
      <c r="C414" t="s">
        <v>201</v>
      </c>
      <c r="D414">
        <v>1</v>
      </c>
      <c r="E414">
        <v>473575.57</v>
      </c>
      <c r="F414">
        <v>473575.57</v>
      </c>
      <c r="G414">
        <v>0.010986130830282648</v>
      </c>
      <c r="I414" t="s">
        <v>201</v>
      </c>
      <c r="J414">
        <v>0</v>
      </c>
      <c r="K414">
        <v>0</v>
      </c>
      <c r="M414">
        <v>0</v>
      </c>
      <c r="N414">
        <v>0</v>
      </c>
      <c r="O414" t="s">
        <v>30</v>
      </c>
    </row>
    <row r="415" spans="2:15" x14ac:dyDescent="0.25">
      <c r="B415" t="s">
        <v>222</v>
      </c>
    </row>
    <row r="416" spans="2:15" x14ac:dyDescent="0.25">
      <c r="B416" t="s">
        <v>223</v>
      </c>
      <c r="K416">
        <v>0</v>
      </c>
      <c r="M416">
        <f>K416+L416</f>
        <v>0</v>
      </c>
      <c r="N416">
        <f>M416/43106674.89</f>
        <v>0</v>
      </c>
    </row>
    <row r="417" spans="2:15" x14ac:dyDescent="0.25">
      <c r="B417" t="s">
        <v>224</v>
      </c>
      <c r="C417" t="s">
        <v>201</v>
      </c>
      <c r="D417">
        <v>1</v>
      </c>
      <c r="E417">
        <v>932598.8200000001</v>
      </c>
      <c r="F417">
        <v>932598.8200000001</v>
      </c>
      <c r="G417">
        <v>0.021634673107582846</v>
      </c>
      <c r="I417" t="s">
        <v>201</v>
      </c>
      <c r="J417">
        <v>0</v>
      </c>
      <c r="K417">
        <v>0</v>
      </c>
      <c r="M417">
        <f>K417+L417</f>
        <v>0</v>
      </c>
      <c r="N417">
        <f>M417/43106674.89</f>
        <v>0</v>
      </c>
      <c r="O417" t="s">
        <v>30</v>
      </c>
    </row>
    <row r="418" spans="2:15" x14ac:dyDescent="0.25">
      <c r="B418" t="s">
        <v>225</v>
      </c>
    </row>
    <row r="419" spans="2:15" x14ac:dyDescent="0.25">
      <c r="B419" t="s">
        <v>226</v>
      </c>
      <c r="C419" t="s">
        <v>227</v>
      </c>
      <c r="D419">
        <v>1</v>
      </c>
      <c r="E419">
        <v>302047.59</v>
      </c>
      <c r="F419">
        <v>302047.59</v>
      </c>
      <c r="G419">
        <v>0.007006979563391694</v>
      </c>
      <c r="I419" t="s">
        <v>227</v>
      </c>
      <c r="J419">
        <v>0</v>
      </c>
      <c r="K419">
        <v>0</v>
      </c>
      <c r="M419">
        <v>0</v>
      </c>
      <c r="N419">
        <v>0</v>
      </c>
      <c r="O419" t="s">
        <v>30</v>
      </c>
    </row>
    <row r="420" spans="2:15" x14ac:dyDescent="0.25">
      <c r="B420" t="s">
        <v>228</v>
      </c>
      <c r="C420" t="s">
        <v>227</v>
      </c>
      <c r="D420">
        <v>5</v>
      </c>
      <c r="E420">
        <v>5538.24</v>
      </c>
      <c r="F420">
        <v>27691.199999999997</v>
      </c>
      <c r="G420">
        <v>0.0006423877524922217</v>
      </c>
      <c r="I420" t="s">
        <v>227</v>
      </c>
      <c r="J420">
        <v>0</v>
      </c>
      <c r="K420">
        <v>0</v>
      </c>
      <c r="M420">
        <f>K420+L420</f>
        <v>0</v>
      </c>
      <c r="N420">
        <f>M420/43106674.89</f>
        <v>0</v>
      </c>
      <c r="O420" t="s">
        <v>30</v>
      </c>
    </row>
    <row r="421" spans="2:15" x14ac:dyDescent="0.25">
      <c r="B421" t="s">
        <v>229</v>
      </c>
      <c r="C421" t="s">
        <v>26</v>
      </c>
      <c r="D421">
        <v>1</v>
      </c>
      <c r="E421">
        <v>32074.68</v>
      </c>
      <c r="F421">
        <v>32074.68</v>
      </c>
      <c r="G421">
        <v>0.0007440768763039237</v>
      </c>
      <c r="I421" t="s">
        <v>26</v>
      </c>
      <c r="J421">
        <v>0</v>
      </c>
      <c r="K421">
        <v>0</v>
      </c>
      <c r="M421">
        <v>0</v>
      </c>
      <c r="N421">
        <v>0</v>
      </c>
      <c r="O421" t="s">
        <v>30</v>
      </c>
    </row>
    <row r="422" spans="1:15" x14ac:dyDescent="0.25">
      <c r="A422" t="s">
        <v>230</v>
      </c>
      <c r="B422" t="s">
        <v>231</v>
      </c>
    </row>
    <row r="423" spans="2:15" x14ac:dyDescent="0.25">
      <c r="B423" t="s">
        <v>232</v>
      </c>
      <c r="K423">
        <v>0</v>
      </c>
      <c r="M423">
        <f>K423+L423</f>
        <v>0</v>
      </c>
      <c r="N423">
        <f>M423/43106674.89</f>
        <v>0</v>
      </c>
    </row>
    <row r="424" spans="2:15" x14ac:dyDescent="0.25">
      <c r="B424" t="s">
        <v>233</v>
      </c>
      <c r="C424" t="s">
        <v>227</v>
      </c>
      <c r="D424">
        <v>4</v>
      </c>
      <c r="E424">
        <v>29019.109999999993</v>
      </c>
      <c r="F424">
        <v>116076.43999999997</v>
      </c>
      <c r="G424">
        <v>0.002692771833972461</v>
      </c>
      <c r="I424" t="s">
        <v>227</v>
      </c>
      <c r="J424">
        <v>0</v>
      </c>
      <c r="K424">
        <v>0</v>
      </c>
      <c r="M424">
        <f>K424+L424</f>
        <v>0</v>
      </c>
      <c r="N424">
        <f>M424/43106674.89</f>
        <v>0</v>
      </c>
      <c r="O424" t="s">
        <v>30</v>
      </c>
    </row>
    <row r="425" spans="2:15" x14ac:dyDescent="0.25">
      <c r="B425" t="s">
        <v>234</v>
      </c>
      <c r="C425" t="s">
        <v>227</v>
      </c>
      <c r="D425">
        <v>7</v>
      </c>
      <c r="E425">
        <v>11083.84</v>
      </c>
      <c r="F425">
        <v>77586.88</v>
      </c>
      <c r="G425">
        <v>0.0017998808815105059</v>
      </c>
      <c r="I425" t="s">
        <v>227</v>
      </c>
      <c r="J425">
        <v>0</v>
      </c>
      <c r="K425">
        <v>0</v>
      </c>
      <c r="M425">
        <f>K425+L425</f>
        <v>0</v>
      </c>
      <c r="N425">
        <f>M425/43106674.89</f>
        <v>0</v>
      </c>
      <c r="O425" t="s">
        <v>30</v>
      </c>
    </row>
    <row r="426" spans="2:15" x14ac:dyDescent="0.25">
      <c r="B426" t="s">
        <v>235</v>
      </c>
      <c r="C426" t="s">
        <v>227</v>
      </c>
      <c r="D426">
        <v>16</v>
      </c>
      <c r="E426">
        <v>9429.220000000001</v>
      </c>
      <c r="F426">
        <v>150867.52000000002</v>
      </c>
      <c r="G426">
        <v>0.003499864473077199</v>
      </c>
      <c r="I426" t="s">
        <v>227</v>
      </c>
      <c r="J426">
        <v>0</v>
      </c>
      <c r="K426">
        <v>0</v>
      </c>
      <c r="M426">
        <f>K426+L426</f>
        <v>0</v>
      </c>
      <c r="N426">
        <f>M426/43106674.89</f>
        <v>0</v>
      </c>
      <c r="O426" t="s">
        <v>30</v>
      </c>
    </row>
    <row r="427" spans="2:15" x14ac:dyDescent="0.25">
      <c r="B427" t="s">
        <v>236</v>
      </c>
      <c r="C427" t="s">
        <v>227</v>
      </c>
      <c r="D427">
        <v>23</v>
      </c>
      <c r="E427">
        <v>9429.22</v>
      </c>
      <c r="F427">
        <v>216872.06</v>
      </c>
      <c r="G427">
        <v>0.005031055180048472</v>
      </c>
      <c r="I427" t="s">
        <v>227</v>
      </c>
      <c r="J427">
        <v>0</v>
      </c>
      <c r="K427">
        <v>0</v>
      </c>
      <c r="M427">
        <f>K427+L427</f>
        <v>0</v>
      </c>
      <c r="N427">
        <f>M427/43106674.89</f>
        <v>0</v>
      </c>
      <c r="O427" t="s">
        <v>30</v>
      </c>
    </row>
    <row r="428" spans="2:15" x14ac:dyDescent="0.25">
      <c r="B428" t="s">
        <v>195</v>
      </c>
      <c r="K428">
        <v>0</v>
      </c>
      <c r="M428">
        <f>K428+L428</f>
        <v>0</v>
      </c>
      <c r="N428">
        <f>M428/43106674.89</f>
        <v>0</v>
      </c>
    </row>
    <row r="429" spans="2:15" x14ac:dyDescent="0.25">
      <c r="B429" t="s">
        <v>197</v>
      </c>
      <c r="C429" t="s">
        <v>75</v>
      </c>
      <c r="D429">
        <v>49</v>
      </c>
      <c r="E429">
        <v>2672.9</v>
      </c>
      <c r="F429">
        <v>130972.1</v>
      </c>
      <c r="G429">
        <v>0.00303832527872344</v>
      </c>
      <c r="I429" t="s">
        <v>75</v>
      </c>
      <c r="J429">
        <v>0</v>
      </c>
      <c r="K429">
        <v>0</v>
      </c>
      <c r="M429">
        <v>0</v>
      </c>
      <c r="N429">
        <v>0</v>
      </c>
      <c r="O429" t="s">
        <v>30</v>
      </c>
    </row>
    <row r="430" spans="2:15" x14ac:dyDescent="0.25">
      <c r="B430" t="s">
        <v>237</v>
      </c>
      <c r="C430" t="s">
        <v>75</v>
      </c>
      <c r="D430">
        <v>1003</v>
      </c>
      <c r="E430">
        <v>1753.43</v>
      </c>
      <c r="F430">
        <v>1758690.29</v>
      </c>
      <c r="G430">
        <v>0.040798560651867516</v>
      </c>
      <c r="I430" t="s">
        <v>75</v>
      </c>
      <c r="J430">
        <v>0</v>
      </c>
      <c r="K430">
        <v>0</v>
      </c>
      <c r="M430">
        <v>0</v>
      </c>
      <c r="N430">
        <v>0</v>
      </c>
      <c r="O430" t="s">
        <v>30</v>
      </c>
    </row>
    <row r="431" spans="2:15" x14ac:dyDescent="0.25">
      <c r="B431" t="s">
        <v>238</v>
      </c>
    </row>
    <row r="432" spans="2:15" x14ac:dyDescent="0.25">
      <c r="B432" t="s">
        <v>239</v>
      </c>
      <c r="C432" t="s">
        <v>87</v>
      </c>
      <c r="D432">
        <v>195</v>
      </c>
      <c r="E432">
        <v>125.85</v>
      </c>
      <c r="F432">
        <v>24540.75</v>
      </c>
      <c r="G432">
        <v>0.0005693027834464916</v>
      </c>
      <c r="I432" t="s">
        <v>87</v>
      </c>
      <c r="J432">
        <v>0</v>
      </c>
      <c r="K432">
        <v>0</v>
      </c>
      <c r="M432">
        <f>K432+L432</f>
        <v>0</v>
      </c>
      <c r="N432">
        <f>M432/43106674.89</f>
        <v>0</v>
      </c>
      <c r="O432" t="s">
        <v>30</v>
      </c>
    </row>
    <row r="433" spans="2:15" x14ac:dyDescent="0.25">
      <c r="B433" t="s">
        <v>240</v>
      </c>
      <c r="K433">
        <v>0</v>
      </c>
      <c r="M433">
        <f>K433+L433</f>
        <v>0</v>
      </c>
      <c r="N433">
        <f>M433/43106674.89</f>
        <v>0</v>
      </c>
    </row>
    <row r="434" spans="2:15" x14ac:dyDescent="0.25">
      <c r="B434" t="s">
        <v>241</v>
      </c>
      <c r="C434" t="s">
        <v>242</v>
      </c>
      <c r="D434">
        <v>429</v>
      </c>
      <c r="E434">
        <v>1395.9000000000003</v>
      </c>
      <c r="F434">
        <v>598841.1000000001</v>
      </c>
      <c r="G434">
        <v>0.01389207359482326</v>
      </c>
      <c r="I434" t="s">
        <v>242</v>
      </c>
      <c r="J434">
        <v>0</v>
      </c>
      <c r="K434">
        <v>0</v>
      </c>
      <c r="M434">
        <f>K434+L434</f>
        <v>0</v>
      </c>
      <c r="N434">
        <f>M434/43106674.89</f>
        <v>0</v>
      </c>
      <c r="O434" t="s">
        <v>30</v>
      </c>
    </row>
    <row r="435" spans="2:15" x14ac:dyDescent="0.25">
      <c r="B435" t="s">
        <v>243</v>
      </c>
      <c r="C435" t="s">
        <v>242</v>
      </c>
      <c r="D435">
        <v>6798</v>
      </c>
      <c r="E435">
        <v>144.13</v>
      </c>
      <c r="F435">
        <v>979795.74</v>
      </c>
      <c r="G435">
        <v>0.022729559691167345</v>
      </c>
      <c r="I435" t="s">
        <v>242</v>
      </c>
      <c r="J435">
        <v>0</v>
      </c>
      <c r="K435">
        <v>0</v>
      </c>
      <c r="M435">
        <v>0</v>
      </c>
      <c r="N435">
        <v>0</v>
      </c>
      <c r="O435" t="s">
        <v>30</v>
      </c>
    </row>
    <row r="436" spans="2:15" x14ac:dyDescent="0.25">
      <c r="B436" t="s">
        <v>116</v>
      </c>
      <c r="K436">
        <v>0</v>
      </c>
      <c r="M436">
        <f>K436+L436</f>
        <v>0</v>
      </c>
      <c r="N436">
        <f>M436/43106674.89</f>
        <v>0</v>
      </c>
    </row>
    <row r="437" spans="2:15" x14ac:dyDescent="0.25">
      <c r="B437" t="s">
        <v>194</v>
      </c>
      <c r="C437" t="s">
        <v>242</v>
      </c>
      <c r="D437">
        <v>143</v>
      </c>
      <c r="E437">
        <v>358.86999999999995</v>
      </c>
      <c r="F437">
        <v>51318.40999999999</v>
      </c>
      <c r="G437">
        <v>0.0011904979943582925</v>
      </c>
      <c r="I437" t="s">
        <v>242</v>
      </c>
      <c r="J437">
        <v>0</v>
      </c>
      <c r="K437">
        <v>0</v>
      </c>
      <c r="M437">
        <f>K437+L437</f>
        <v>0</v>
      </c>
      <c r="N437">
        <f>M437/43106674.89</f>
        <v>0</v>
      </c>
      <c r="O437" t="s">
        <v>30</v>
      </c>
    </row>
    <row r="438" spans="2:15" x14ac:dyDescent="0.25">
      <c r="B438" t="s">
        <v>243</v>
      </c>
      <c r="C438" t="s">
        <v>242</v>
      </c>
      <c r="D438">
        <v>3185</v>
      </c>
      <c r="E438">
        <v>144.13000000000002</v>
      </c>
      <c r="F438">
        <v>459054.0500000001</v>
      </c>
      <c r="G438">
        <v>0.010649256783814065</v>
      </c>
      <c r="I438" t="s">
        <v>242</v>
      </c>
      <c r="J438">
        <v>0</v>
      </c>
      <c r="K438">
        <v>0</v>
      </c>
      <c r="M438">
        <f>K438+L438</f>
        <v>0</v>
      </c>
      <c r="N438">
        <f>M438/43106674.89</f>
        <v>0</v>
      </c>
      <c r="O438" t="s">
        <v>30</v>
      </c>
    </row>
    <row r="439" spans="1:15" x14ac:dyDescent="0.25">
      <c r="A439" t="s">
        <v>244</v>
      </c>
      <c r="B439" t="s">
        <v>245</v>
      </c>
      <c r="C439" t="s">
        <v>26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">
        <v>26</v>
      </c>
      <c r="J439">
        <v>0</v>
      </c>
      <c r="K439">
        <v>0</v>
      </c>
      <c r="M439">
        <f>K439+L439</f>
        <v>0</v>
      </c>
      <c r="N439">
        <f>M439/43106674.89</f>
        <v>0</v>
      </c>
      <c r="O439" t="s">
        <v>30</v>
      </c>
    </row>
    <row r="440" spans="1:15" x14ac:dyDescent="0.25">
      <c r="A440" t="s">
        <v>246</v>
      </c>
      <c r="B440" t="s">
        <v>247</v>
      </c>
      <c r="C440" t="s">
        <v>26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">
        <v>26</v>
      </c>
      <c r="J440">
        <v>0</v>
      </c>
      <c r="K440">
        <v>0</v>
      </c>
      <c r="M440">
        <v>0</v>
      </c>
      <c r="N440">
        <v>0</v>
      </c>
      <c r="O440" t="s">
        <v>30</v>
      </c>
    </row>
    <row r="441" spans="1:15" x14ac:dyDescent="0.25">
      <c r="A441" t="s">
        <v>248</v>
      </c>
      <c r="B441" t="s">
        <v>249</v>
      </c>
      <c r="C441" t="s">
        <v>26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">
        <v>26</v>
      </c>
      <c r="J441">
        <v>0</v>
      </c>
      <c r="K441">
        <v>0</v>
      </c>
      <c r="M441">
        <f>K441+L441</f>
        <v>0</v>
      </c>
      <c r="N441">
        <f>M441/43106674.89</f>
        <v>0</v>
      </c>
      <c r="O441" t="s">
        <v>30</v>
      </c>
    </row>
    <row r="442" spans="1:15" x14ac:dyDescent="0.25">
      <c r="A442" t="s">
        <v>250</v>
      </c>
      <c r="B442" t="s">
        <v>251</v>
      </c>
      <c r="C442" t="s">
        <v>26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">
        <v>26</v>
      </c>
      <c r="J442">
        <v>0</v>
      </c>
      <c r="K442">
        <v>0</v>
      </c>
      <c r="M442">
        <f>K442+L442</f>
        <v>0</v>
      </c>
      <c r="N442">
        <f>M442/43106674.89</f>
        <v>0</v>
      </c>
      <c r="O442" t="s">
        <v>30</v>
      </c>
    </row>
    <row r="443" spans="2:15" x14ac:dyDescent="0.25">
      <c r="B443" t="s">
        <v>252</v>
      </c>
      <c r="F443">
        <v>43106674.890000015</v>
      </c>
      <c r="G443">
        <v>1</v>
      </c>
      <c r="J443">
        <v>0</v>
      </c>
      <c r="K443">
        <v>0</v>
      </c>
      <c r="M443">
        <v>0</v>
      </c>
      <c r="N443">
        <v>0</v>
      </c>
      <c r="O443" t="s">
        <v>30</v>
      </c>
    </row>
    <row r="444" spans="1:15" x14ac:dyDescent="0.25">
      <c r="A444" t="s">
        <v>177</v>
      </c>
      <c r="B444" t="s">
        <v>120</v>
      </c>
    </row>
    <row r="445" spans="2:15" x14ac:dyDescent="0.25">
      <c r="B445" t="s">
        <v>121</v>
      </c>
      <c r="C445" t="s">
        <v>90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90</v>
      </c>
      <c r="J445">
        <f>H445*E445</f>
        <v>0</v>
      </c>
      <c r="K445">
        <v>0</v>
      </c>
      <c r="M445">
        <f>K445+L445</f>
        <v>0</v>
      </c>
      <c r="N445">
        <f>M445/43106674.89</f>
        <v>0</v>
      </c>
    </row>
    <row r="446" spans="2:15" x14ac:dyDescent="0.25">
      <c r="B446" t="s">
        <v>122</v>
      </c>
      <c r="C446" t="s">
        <v>75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75</v>
      </c>
      <c r="J446">
        <f>H446*E446</f>
        <v>0</v>
      </c>
      <c r="K446">
        <v>0</v>
      </c>
      <c r="M446">
        <f>K446+L446</f>
        <v>0</v>
      </c>
      <c r="N446">
        <f>M446/43106674.89</f>
        <v>0</v>
      </c>
    </row>
    <row r="447" spans="2:15" x14ac:dyDescent="0.25">
      <c r="B447" t="s">
        <v>123</v>
      </c>
      <c r="C447" t="s">
        <v>124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124</v>
      </c>
      <c r="J447">
        <f>H447*E447</f>
        <v>0</v>
      </c>
      <c r="K447">
        <v>0</v>
      </c>
      <c r="M447">
        <f>K447+L447</f>
        <v>0</v>
      </c>
      <c r="N447">
        <f>M447/43106674.89</f>
        <v>0</v>
      </c>
    </row>
    <row r="448" spans="2:15" x14ac:dyDescent="0.25">
      <c r="B448" t="s">
        <v>125</v>
      </c>
      <c r="C448" t="s">
        <v>126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126</v>
      </c>
      <c r="J448">
        <f>H448*E448</f>
        <v>0</v>
      </c>
      <c r="K448">
        <v>0</v>
      </c>
      <c r="M448">
        <f>K448+L448</f>
        <v>0</v>
      </c>
      <c r="N448">
        <f>M448/43106674.89</f>
        <v>0</v>
      </c>
    </row>
    <row r="449" spans="2:15" x14ac:dyDescent="0.25">
      <c r="B449" t="s">
        <v>127</v>
      </c>
      <c r="C449" t="s">
        <v>75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75</v>
      </c>
      <c r="J449">
        <f>H449*E449</f>
        <v>0</v>
      </c>
      <c r="K449">
        <v>0</v>
      </c>
      <c r="M449">
        <f>K449+L449</f>
        <v>0</v>
      </c>
      <c r="N449">
        <f>M449/43106674.89</f>
        <v>0</v>
      </c>
    </row>
    <row r="450" spans="2:15" x14ac:dyDescent="0.25">
      <c r="B450" t="s">
        <v>128</v>
      </c>
      <c r="C450" t="s">
        <v>90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90</v>
      </c>
      <c r="J450">
        <f>H450*E450</f>
        <v>0</v>
      </c>
      <c r="K450">
        <v>0</v>
      </c>
      <c r="M450">
        <f>K450+L450</f>
        <v>0</v>
      </c>
      <c r="N450">
        <f>M450/43106674.89</f>
        <v>0</v>
      </c>
    </row>
    <row r="451" spans="2:15" x14ac:dyDescent="0.25">
      <c r="B451" t="s">
        <v>129</v>
      </c>
      <c r="C451" t="s">
        <v>90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90</v>
      </c>
      <c r="J451">
        <f>H451*E451</f>
        <v>0</v>
      </c>
      <c r="K451">
        <v>0</v>
      </c>
      <c r="M451">
        <f>K451+L451</f>
        <v>0</v>
      </c>
      <c r="N451">
        <f>M451/43106674.89</f>
        <v>0</v>
      </c>
    </row>
    <row r="452" spans="2:15" x14ac:dyDescent="0.25">
      <c r="B452" t="s">
        <v>130</v>
      </c>
      <c r="C452" t="s">
        <v>131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131</v>
      </c>
      <c r="J452">
        <f>H452*E452</f>
        <v>0</v>
      </c>
      <c r="K452">
        <v>0</v>
      </c>
      <c r="M452">
        <f>K452+L452</f>
        <v>0</v>
      </c>
      <c r="N452">
        <f>M452/43106674.89</f>
        <v>0</v>
      </c>
    </row>
    <row r="453" spans="2:15" x14ac:dyDescent="0.25">
      <c r="B453" t="s">
        <v>132</v>
      </c>
      <c r="C453" t="s">
        <v>90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90</v>
      </c>
      <c r="J453">
        <f>H453*E453</f>
        <v>0</v>
      </c>
      <c r="K453">
        <v>0</v>
      </c>
      <c r="M453">
        <f>K453+L453</f>
        <v>0</v>
      </c>
      <c r="N453">
        <f>M453/43106674.89</f>
        <v>0</v>
      </c>
    </row>
    <row r="454" spans="2:15" x14ac:dyDescent="0.25">
      <c r="B454" t="s">
        <v>133</v>
      </c>
      <c r="C454" t="s">
        <v>134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134</v>
      </c>
      <c r="J454">
        <f>H454*E454</f>
        <v>0</v>
      </c>
      <c r="K454">
        <v>0</v>
      </c>
      <c r="M454">
        <f>K454+L454</f>
        <v>0</v>
      </c>
      <c r="N454">
        <f>M454/43106674.89</f>
        <v>0</v>
      </c>
    </row>
    <row r="455" spans="2:15" x14ac:dyDescent="0.25">
      <c r="B455" t="s">
        <v>135</v>
      </c>
      <c r="C455" t="s">
        <v>134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134</v>
      </c>
      <c r="J455">
        <f>H455*E455</f>
        <v>0</v>
      </c>
      <c r="K455">
        <v>0</v>
      </c>
      <c r="M455">
        <f>K455+L455</f>
        <v>0</v>
      </c>
      <c r="N455">
        <f>M455/43106674.89</f>
        <v>0</v>
      </c>
    </row>
    <row r="456" spans="2:15" x14ac:dyDescent="0.25">
      <c r="B456" t="s">
        <v>136</v>
      </c>
      <c r="C456" t="s">
        <v>134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134</v>
      </c>
      <c r="J456">
        <f>H456*E456</f>
        <v>0</v>
      </c>
      <c r="K456">
        <v>0</v>
      </c>
      <c r="M456">
        <f>K456+L456</f>
        <v>0</v>
      </c>
      <c r="N456">
        <f>M456/43106674.89</f>
        <v>0</v>
      </c>
    </row>
    <row r="457" spans="2:15" x14ac:dyDescent="0.25">
      <c r="B457" t="s">
        <v>137</v>
      </c>
      <c r="C457" t="s">
        <v>90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90</v>
      </c>
      <c r="J457">
        <f>H457*E457</f>
        <v>0</v>
      </c>
      <c r="K457">
        <v>0</v>
      </c>
      <c r="M457">
        <f>K457+L457</f>
        <v>0</v>
      </c>
      <c r="N457">
        <f>M457/43106674.89</f>
        <v>0</v>
      </c>
    </row>
    <row r="458" spans="2:15" x14ac:dyDescent="0.25">
      <c r="B458" t="s">
        <v>138</v>
      </c>
      <c r="C458" t="s">
        <v>90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90</v>
      </c>
      <c r="J458">
        <f>H458*E458</f>
        <v>0</v>
      </c>
      <c r="K458">
        <v>0</v>
      </c>
      <c r="M458">
        <f>K458+L458</f>
        <v>0</v>
      </c>
      <c r="N458">
        <f>M458/43106674.89</f>
        <v>0</v>
      </c>
    </row>
    <row r="460" spans="1:15" x14ac:dyDescent="0.25">
      <c r="A460" t="s">
        <v>178</v>
      </c>
      <c r="B460" t="s">
        <v>140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">
        <v>26</v>
      </c>
      <c r="K460">
        <v>0</v>
      </c>
      <c r="M460">
        <f>K460+L460</f>
        <v>0</v>
      </c>
      <c r="N460">
        <f>M460/43106674.89</f>
        <v>0</v>
      </c>
    </row>
    <row r="462" spans="1:15" x14ac:dyDescent="0.25">
      <c r="A462" t="s">
        <v>179</v>
      </c>
      <c r="B462" t="s">
        <v>142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">
        <v>26</v>
      </c>
      <c r="K462">
        <v>0</v>
      </c>
      <c r="M462">
        <f>K462+L462</f>
        <v>0</v>
      </c>
      <c r="N462">
        <f>M462/43106674.89</f>
        <v>0</v>
      </c>
    </row>
    <row r="464" spans="1:15" x14ac:dyDescent="0.25">
      <c r="A464" t="s">
        <v>180</v>
      </c>
      <c r="B464" t="s">
        <v>144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">
        <v>26</v>
      </c>
      <c r="K464">
        <v>0</v>
      </c>
      <c r="M464">
        <f>K464+L464</f>
        <v>0</v>
      </c>
      <c r="N464">
        <f>M464/43106674.89</f>
        <v>0</v>
      </c>
    </row>
    <row r="468" spans="1:15" x14ac:dyDescent="0.25">
      <c r="A468" t="s">
        <v>181</v>
      </c>
      <c r="B468" t="s">
        <v>182</v>
      </c>
    </row>
    <row r="469" spans="2:15" x14ac:dyDescent="0.25">
      <c r="B469" t="s">
        <v>183</v>
      </c>
    </row>
    <row r="470" spans="1:15" x14ac:dyDescent="0.25">
      <c r="A470" t="s">
        <v>184</v>
      </c>
      <c r="B470" t="s">
        <v>185</v>
      </c>
    </row>
    <row r="472" spans="1:15" x14ac:dyDescent="0.25">
      <c r="A472" t="s">
        <v>186</v>
      </c>
      <c r="B472" t="s">
        <v>187</v>
      </c>
    </row>
    <row r="473" spans="2:15" x14ac:dyDescent="0.25">
      <c r="B473" t="s">
        <v>188</v>
      </c>
    </row>
    <row r="474" spans="2:15" x14ac:dyDescent="0.25">
      <c r="B474" t="s">
        <v>189</v>
      </c>
      <c r="C474" t="s">
        <v>108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108</v>
      </c>
      <c r="J474">
        <f>H474*E474</f>
        <v>0</v>
      </c>
      <c r="K474">
        <v>0</v>
      </c>
      <c r="M474">
        <f>K474+L474</f>
        <v>0</v>
      </c>
      <c r="N474">
        <f>M474/43106674.89</f>
        <v>0</v>
      </c>
    </row>
    <row r="475" spans="2:15" x14ac:dyDescent="0.25">
      <c r="B475" t="s">
        <v>190</v>
      </c>
      <c r="C475" t="s">
        <v>108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108</v>
      </c>
      <c r="J475">
        <f>H475*E475</f>
        <v>0</v>
      </c>
      <c r="K475">
        <v>0</v>
      </c>
      <c r="M475">
        <f>K475+L475</f>
        <v>0</v>
      </c>
      <c r="N475">
        <f>M475/43106674.89</f>
        <v>0</v>
      </c>
    </row>
    <row r="476" spans="2:15" x14ac:dyDescent="0.25">
      <c r="B476" t="s">
        <v>191</v>
      </c>
      <c r="C476" t="s">
        <v>108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108</v>
      </c>
      <c r="J476">
        <f>H476*E476</f>
        <v>0</v>
      </c>
      <c r="K476">
        <v>0</v>
      </c>
      <c r="M476">
        <f>K476+L476</f>
        <v>0</v>
      </c>
      <c r="N476">
        <f>M476/43106674.89</f>
        <v>0</v>
      </c>
    </row>
    <row r="477" spans="2:15" x14ac:dyDescent="0.25">
      <c r="B477" t="s">
        <v>116</v>
      </c>
    </row>
    <row r="478" spans="2:15" x14ac:dyDescent="0.25">
      <c r="B478" t="s">
        <v>192</v>
      </c>
      <c r="C478" t="s">
        <v>108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108</v>
      </c>
      <c r="J478">
        <f>H478*E478</f>
        <v>0</v>
      </c>
      <c r="K478">
        <v>0</v>
      </c>
      <c r="M478">
        <f>K478+L478</f>
        <v>0</v>
      </c>
      <c r="N478">
        <f>M478/43106674.89</f>
        <v>0</v>
      </c>
    </row>
    <row r="479" spans="2:15" x14ac:dyDescent="0.25">
      <c r="B479" t="s">
        <v>193</v>
      </c>
      <c r="C479" t="s">
        <v>108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108</v>
      </c>
      <c r="J479">
        <f>H479*E479</f>
        <v>0</v>
      </c>
      <c r="K479">
        <v>0</v>
      </c>
      <c r="M479">
        <f>K479+L479</f>
        <v>0</v>
      </c>
      <c r="N479">
        <f>M479/43106674.89</f>
        <v>0</v>
      </c>
    </row>
    <row r="480" spans="2:15" x14ac:dyDescent="0.25">
      <c r="B480" t="s">
        <v>194</v>
      </c>
      <c r="C480" t="s">
        <v>108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108</v>
      </c>
      <c r="J480">
        <f>H480*E480</f>
        <v>0</v>
      </c>
      <c r="K480">
        <v>0</v>
      </c>
      <c r="M480">
        <f>K480+L480</f>
        <v>0</v>
      </c>
      <c r="N480">
        <f>M480/43106674.89</f>
        <v>0</v>
      </c>
    </row>
    <row r="481" spans="2:15" x14ac:dyDescent="0.25">
      <c r="B481" t="s">
        <v>195</v>
      </c>
    </row>
    <row r="482" spans="2:15" x14ac:dyDescent="0.25">
      <c r="B482" t="s">
        <v>196</v>
      </c>
      <c r="C482" t="s">
        <v>75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75</v>
      </c>
      <c r="J482">
        <f>H482*E482</f>
        <v>0</v>
      </c>
      <c r="K482">
        <v>0</v>
      </c>
      <c r="M482">
        <f>K482+L482</f>
        <v>0</v>
      </c>
      <c r="N482">
        <f>M482/43106674.89</f>
        <v>0</v>
      </c>
    </row>
    <row r="483" spans="2:15" x14ac:dyDescent="0.25">
      <c r="B483" t="s">
        <v>197</v>
      </c>
      <c r="C483" t="s">
        <v>75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75</v>
      </c>
      <c r="J483">
        <f>H483*E483</f>
        <v>0</v>
      </c>
      <c r="K483">
        <v>0</v>
      </c>
      <c r="M483">
        <f>K483+L483</f>
        <v>0</v>
      </c>
      <c r="N483">
        <f>M483/43106674.89</f>
        <v>0</v>
      </c>
    </row>
    <row r="485" spans="1:15" x14ac:dyDescent="0.25">
      <c r="A485" t="s">
        <v>198</v>
      </c>
      <c r="B485" t="s">
        <v>199</v>
      </c>
    </row>
    <row r="486" spans="2:15" x14ac:dyDescent="0.25">
      <c r="B486" t="s">
        <v>200</v>
      </c>
      <c r="C486" t="s">
        <v>201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201</v>
      </c>
      <c r="J486">
        <f>H486*E486</f>
        <v>0</v>
      </c>
      <c r="K486">
        <v>0</v>
      </c>
      <c r="M486">
        <f>K486+L486</f>
        <v>0</v>
      </c>
      <c r="N486">
        <f>M486/43106674.89</f>
        <v>0</v>
      </c>
    </row>
    <row r="487" spans="2:15" x14ac:dyDescent="0.25">
      <c r="B487" t="s">
        <v>202</v>
      </c>
    </row>
    <row r="488" spans="2:15" x14ac:dyDescent="0.25">
      <c r="B488" t="s">
        <v>203</v>
      </c>
    </row>
    <row r="489" spans="2:15" x14ac:dyDescent="0.25">
      <c r="B489" t="s">
        <v>204</v>
      </c>
    </row>
    <row r="491" spans="2:15" x14ac:dyDescent="0.25">
      <c r="B491" t="s">
        <v>205</v>
      </c>
      <c r="C491" t="s">
        <v>201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201</v>
      </c>
      <c r="J491">
        <f>H491*E491</f>
        <v>0</v>
      </c>
      <c r="K491">
        <v>0</v>
      </c>
      <c r="M491">
        <f>K491+L491</f>
        <v>0</v>
      </c>
      <c r="N491">
        <f>M491/43106674.89</f>
        <v>0</v>
      </c>
    </row>
    <row r="492" spans="2:15" x14ac:dyDescent="0.25">
      <c r="B492" t="s">
        <v>206</v>
      </c>
    </row>
    <row r="493" spans="2:15" x14ac:dyDescent="0.25">
      <c r="B493" t="s">
        <v>207</v>
      </c>
    </row>
    <row r="494" spans="2:15" x14ac:dyDescent="0.25">
      <c r="B494" t="s">
        <v>208</v>
      </c>
    </row>
    <row r="495" spans="2:15" x14ac:dyDescent="0.25">
      <c r="B495" t="s">
        <v>209</v>
      </c>
    </row>
    <row r="497" spans="2:15" x14ac:dyDescent="0.25">
      <c r="B497" t="s">
        <v>210</v>
      </c>
      <c r="C497" t="s">
        <v>201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201</v>
      </c>
      <c r="J497">
        <f>H497*E497</f>
        <v>0</v>
      </c>
      <c r="K497">
        <v>0</v>
      </c>
      <c r="M497">
        <f>K497+L497</f>
        <v>0</v>
      </c>
      <c r="N497">
        <f>M497/43106674.89</f>
        <v>0</v>
      </c>
    </row>
    <row r="498" spans="2:15" x14ac:dyDescent="0.25">
      <c r="B498" t="s">
        <v>206</v>
      </c>
    </row>
    <row r="499" spans="2:15" x14ac:dyDescent="0.25">
      <c r="B499" t="s">
        <v>211</v>
      </c>
    </row>
    <row r="500" spans="2:15" x14ac:dyDescent="0.25">
      <c r="B500" t="s">
        <v>212</v>
      </c>
    </row>
    <row r="501" spans="2:15" x14ac:dyDescent="0.25">
      <c r="B501" t="s">
        <v>213</v>
      </c>
    </row>
    <row r="503" spans="2:15" x14ac:dyDescent="0.25">
      <c r="B503" t="s">
        <v>214</v>
      </c>
      <c r="C503" t="s">
        <v>201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201</v>
      </c>
      <c r="J503">
        <f>H503*E503</f>
        <v>0</v>
      </c>
      <c r="K503">
        <v>0</v>
      </c>
      <c r="M503">
        <f>K503+L503</f>
        <v>0</v>
      </c>
      <c r="N503">
        <f>M503/43106674.89</f>
        <v>0</v>
      </c>
    </row>
    <row r="504" spans="2:15" x14ac:dyDescent="0.25">
      <c r="B504" t="s">
        <v>206</v>
      </c>
    </row>
    <row r="505" spans="2:15" x14ac:dyDescent="0.25">
      <c r="B505" t="s">
        <v>207</v>
      </c>
    </row>
    <row r="506" spans="2:15" x14ac:dyDescent="0.25">
      <c r="B506" t="s">
        <v>215</v>
      </c>
    </row>
    <row r="507" spans="2:15" x14ac:dyDescent="0.25">
      <c r="B507" t="s">
        <v>216</v>
      </c>
    </row>
    <row r="509" spans="2:15" x14ac:dyDescent="0.25">
      <c r="B509" t="s">
        <v>217</v>
      </c>
      <c r="C509" t="s">
        <v>201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201</v>
      </c>
      <c r="J509">
        <f>H509*E509</f>
        <v>0</v>
      </c>
      <c r="K509">
        <v>0</v>
      </c>
      <c r="M509">
        <f>K509+L509</f>
        <v>0</v>
      </c>
      <c r="N509">
        <f>M509/43106674.89</f>
        <v>0</v>
      </c>
    </row>
    <row r="510" spans="2:15" x14ac:dyDescent="0.25">
      <c r="B510" t="s">
        <v>206</v>
      </c>
    </row>
    <row r="511" spans="2:15" x14ac:dyDescent="0.25">
      <c r="B511" t="s">
        <v>218</v>
      </c>
    </row>
    <row r="512" spans="2:15" x14ac:dyDescent="0.25">
      <c r="B512" t="s">
        <v>219</v>
      </c>
    </row>
    <row r="513" spans="2:15" x14ac:dyDescent="0.25">
      <c r="B513" t="s">
        <v>220</v>
      </c>
    </row>
    <row r="515" spans="2:15" x14ac:dyDescent="0.25">
      <c r="B515" t="s">
        <v>221</v>
      </c>
      <c r="C515" t="s">
        <v>201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201</v>
      </c>
      <c r="J515">
        <f>H515*E515</f>
        <v>0</v>
      </c>
      <c r="K515">
        <v>0</v>
      </c>
      <c r="M515">
        <f>K515+L515</f>
        <v>0</v>
      </c>
      <c r="N515">
        <f>M515/43106674.89</f>
        <v>0</v>
      </c>
    </row>
    <row r="516" spans="2:15" x14ac:dyDescent="0.25">
      <c r="B516" t="s">
        <v>222</v>
      </c>
    </row>
    <row r="517" spans="2:15" x14ac:dyDescent="0.25">
      <c r="B517" t="s">
        <v>223</v>
      </c>
    </row>
    <row r="519" spans="2:15" x14ac:dyDescent="0.25">
      <c r="B519" t="s">
        <v>224</v>
      </c>
      <c r="C519" t="s">
        <v>201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201</v>
      </c>
      <c r="J519">
        <f>H519*E519</f>
        <v>0</v>
      </c>
      <c r="K519">
        <v>0</v>
      </c>
      <c r="M519">
        <f>K519+L519</f>
        <v>0</v>
      </c>
      <c r="N519">
        <f>M519/43106674.89</f>
        <v>0</v>
      </c>
    </row>
    <row r="520" spans="2:15" x14ac:dyDescent="0.25">
      <c r="B520" t="s">
        <v>225</v>
      </c>
    </row>
    <row r="522" spans="2:15" x14ac:dyDescent="0.25">
      <c r="B522" t="s">
        <v>226</v>
      </c>
      <c r="C522" t="s">
        <v>227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227</v>
      </c>
      <c r="J522">
        <f>H522*E522</f>
        <v>0</v>
      </c>
      <c r="K522">
        <v>0</v>
      </c>
      <c r="M522">
        <f>K522+L522</f>
        <v>0</v>
      </c>
      <c r="N522">
        <f>M522/43106674.89</f>
        <v>0</v>
      </c>
    </row>
    <row r="524" spans="2:15" x14ac:dyDescent="0.25">
      <c r="B524" t="s">
        <v>228</v>
      </c>
      <c r="C524" t="s">
        <v>227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227</v>
      </c>
      <c r="J524">
        <f>H524*E524</f>
        <v>0</v>
      </c>
      <c r="K524">
        <v>0</v>
      </c>
      <c r="M524">
        <f>K524+L524</f>
        <v>0</v>
      </c>
      <c r="N524">
        <f>M524/43106674.89</f>
        <v>0</v>
      </c>
    </row>
    <row r="525" spans="2:15" x14ac:dyDescent="0.25">
      <c r="B525" t="s">
        <v>229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K525">
        <v>0</v>
      </c>
      <c r="M525">
        <f>K525+L525</f>
        <v>0</v>
      </c>
      <c r="N525">
        <f>M525/43106674.89</f>
        <v>0</v>
      </c>
    </row>
    <row r="527" spans="1:15" x14ac:dyDescent="0.25">
      <c r="A527" t="s">
        <v>230</v>
      </c>
      <c r="B527" t="s">
        <v>231</v>
      </c>
    </row>
    <row r="528" spans="2:15" x14ac:dyDescent="0.25">
      <c r="B528" t="s">
        <v>232</v>
      </c>
    </row>
    <row r="529" spans="2:15" x14ac:dyDescent="0.25">
      <c r="B529" t="s">
        <v>233</v>
      </c>
      <c r="C529" t="s">
        <v>227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227</v>
      </c>
      <c r="J529">
        <f>H529*E529</f>
        <v>0</v>
      </c>
      <c r="K529">
        <v>0</v>
      </c>
      <c r="M529">
        <f>K529+L529</f>
        <v>0</v>
      </c>
      <c r="N529">
        <f>M529/43106674.89</f>
        <v>0</v>
      </c>
    </row>
    <row r="530" spans="2:15" x14ac:dyDescent="0.25">
      <c r="B530" t="s">
        <v>234</v>
      </c>
      <c r="C530" t="s">
        <v>227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227</v>
      </c>
      <c r="J530">
        <f>H530*E530</f>
        <v>0</v>
      </c>
      <c r="K530">
        <v>0</v>
      </c>
      <c r="M530">
        <f>K530+L530</f>
        <v>0</v>
      </c>
      <c r="N530">
        <f>M530/43106674.89</f>
        <v>0</v>
      </c>
    </row>
    <row r="531" spans="2:15" x14ac:dyDescent="0.25">
      <c r="B531" t="s">
        <v>235</v>
      </c>
      <c r="C531" t="s">
        <v>227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227</v>
      </c>
      <c r="J531">
        <f>H531*E531</f>
        <v>0</v>
      </c>
      <c r="K531">
        <v>0</v>
      </c>
      <c r="M531">
        <f>K531+L531</f>
        <v>0</v>
      </c>
      <c r="N531">
        <f>M531/43106674.89</f>
        <v>0</v>
      </c>
    </row>
    <row r="532" spans="2:15" x14ac:dyDescent="0.25">
      <c r="B532" t="s">
        <v>236</v>
      </c>
      <c r="C532" t="s">
        <v>227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227</v>
      </c>
      <c r="J532">
        <f>H532*E532</f>
        <v>0</v>
      </c>
      <c r="K532">
        <v>0</v>
      </c>
      <c r="M532">
        <f>K532+L532</f>
        <v>0</v>
      </c>
      <c r="N532">
        <f>M532/43106674.89</f>
        <v>0</v>
      </c>
    </row>
    <row r="533" spans="2:15" x14ac:dyDescent="0.25">
      <c r="B533" t="s">
        <v>195</v>
      </c>
    </row>
    <row r="534" spans="2:15" x14ac:dyDescent="0.25">
      <c r="B534" t="s">
        <v>197</v>
      </c>
      <c r="C534" t="s">
        <v>75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75</v>
      </c>
      <c r="J534">
        <f>H534*E534</f>
        <v>0</v>
      </c>
      <c r="K534">
        <v>0</v>
      </c>
      <c r="M534">
        <f>K534+L534</f>
        <v>0</v>
      </c>
      <c r="N534">
        <f>M534/43106674.89</f>
        <v>0</v>
      </c>
    </row>
    <row r="535" spans="2:15" x14ac:dyDescent="0.25">
      <c r="B535" t="s">
        <v>237</v>
      </c>
      <c r="C535" t="s">
        <v>75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75</v>
      </c>
      <c r="J535">
        <f>H535*E535</f>
        <v>0</v>
      </c>
      <c r="K535">
        <v>0</v>
      </c>
      <c r="M535">
        <f>K535+L535</f>
        <v>0</v>
      </c>
      <c r="N535">
        <f>M535/43106674.89</f>
        <v>0</v>
      </c>
    </row>
    <row r="536" spans="2:15" x14ac:dyDescent="0.25">
      <c r="B536" t="s">
        <v>238</v>
      </c>
    </row>
    <row r="537" spans="2:15" x14ac:dyDescent="0.25">
      <c r="B537" t="s">
        <v>239</v>
      </c>
      <c r="C537" t="s">
        <v>87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87</v>
      </c>
      <c r="J537">
        <f>H537*E537</f>
        <v>0</v>
      </c>
      <c r="K537">
        <v>0</v>
      </c>
      <c r="M537">
        <f>K537+L537</f>
        <v>0</v>
      </c>
      <c r="N537">
        <f>M537/43106674.89</f>
        <v>0</v>
      </c>
    </row>
    <row r="538" spans="2:15" x14ac:dyDescent="0.25">
      <c r="B538" t="s">
        <v>240</v>
      </c>
    </row>
    <row r="539" spans="2:15" x14ac:dyDescent="0.25">
      <c r="B539" t="s">
        <v>241</v>
      </c>
      <c r="C539" t="s">
        <v>242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242</v>
      </c>
      <c r="J539">
        <f>H539*E539</f>
        <v>0</v>
      </c>
      <c r="K539">
        <v>0</v>
      </c>
      <c r="M539">
        <f>K539+L539</f>
        <v>0</v>
      </c>
      <c r="N539">
        <f>M539/43106674.89</f>
        <v>0</v>
      </c>
    </row>
    <row r="540" spans="2:15" x14ac:dyDescent="0.25">
      <c r="B540" t="s">
        <v>243</v>
      </c>
      <c r="C540" t="s">
        <v>242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242</v>
      </c>
      <c r="J540">
        <f>H540*E540</f>
        <v>0</v>
      </c>
      <c r="K540">
        <v>0</v>
      </c>
      <c r="M540">
        <f>K540+L540</f>
        <v>0</v>
      </c>
      <c r="N540">
        <f>M540/43106674.89</f>
        <v>0</v>
      </c>
    </row>
    <row r="541" spans="2:15" x14ac:dyDescent="0.25">
      <c r="B541" t="s">
        <v>116</v>
      </c>
    </row>
    <row r="542" spans="2:15" x14ac:dyDescent="0.25">
      <c r="B542" t="s">
        <v>194</v>
      </c>
      <c r="C542" t="s">
        <v>242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242</v>
      </c>
      <c r="J542">
        <f>H542*E542</f>
        <v>0</v>
      </c>
      <c r="K542">
        <v>0</v>
      </c>
      <c r="M542">
        <f>K542+L542</f>
        <v>0</v>
      </c>
      <c r="N542">
        <f>M542/43106674.89</f>
        <v>0</v>
      </c>
    </row>
    <row r="543" spans="2:15" x14ac:dyDescent="0.25">
      <c r="B543" t="s">
        <v>243</v>
      </c>
      <c r="C543" t="s">
        <v>242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242</v>
      </c>
      <c r="J543">
        <f>H543*E543</f>
        <v>0</v>
      </c>
      <c r="K543">
        <v>0</v>
      </c>
      <c r="M543">
        <f>K543+L543</f>
        <v>0</v>
      </c>
      <c r="N543">
        <f>M543/43106674.89</f>
        <v>0</v>
      </c>
    </row>
    <row r="545" spans="1:15" x14ac:dyDescent="0.25">
      <c r="A545" t="s">
        <v>244</v>
      </c>
      <c r="B545" t="s">
        <v>245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">
        <v>26</v>
      </c>
      <c r="K545">
        <v>0</v>
      </c>
      <c r="M545">
        <f>K545+L545</f>
        <v>0</v>
      </c>
      <c r="N545">
        <f>M545/43106674.89</f>
        <v>0</v>
      </c>
    </row>
    <row r="546" spans="1:15" x14ac:dyDescent="0.25">
      <c r="A546" t="s">
        <v>246</v>
      </c>
      <c r="B546" t="s">
        <v>247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">
        <v>26</v>
      </c>
      <c r="K546">
        <v>0</v>
      </c>
      <c r="M546">
        <f>K546+L546</f>
        <v>0</v>
      </c>
      <c r="N546">
        <f>M546/43106674.89</f>
        <v>0</v>
      </c>
    </row>
    <row r="547" spans="1:15" x14ac:dyDescent="0.25">
      <c r="A547" t="s">
        <v>248</v>
      </c>
      <c r="B547" t="s">
        <v>249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">
        <v>26</v>
      </c>
      <c r="K547">
        <v>0</v>
      </c>
      <c r="M547">
        <f>K547+L547</f>
        <v>0</v>
      </c>
      <c r="N547">
        <f>M547/43106674.89</f>
        <v>0</v>
      </c>
    </row>
    <row r="548" spans="1:15" x14ac:dyDescent="0.25">
      <c r="A548" t="s">
        <v>250</v>
      </c>
      <c r="B548" t="s">
        <v>251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">
        <v>26</v>
      </c>
      <c r="K548">
        <v>0</v>
      </c>
      <c r="M548">
        <f>K548+L548</f>
        <v>0</v>
      </c>
      <c r="N548">
        <f>M548/43106674.89</f>
        <v>0</v>
      </c>
    </row>
    <row r="551" spans="2:15" x14ac:dyDescent="0.25">
      <c r="B551" t="s">
        <v>252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v>0</v>
      </c>
      <c r="M551">
        <f>SUM(M26:M550)</f>
        <v>0</v>
      </c>
      <c r="N551">
        <f>SUM(N26:N550)</f>
        <v>0</v>
      </c>
    </row>
    <row r="555" spans="2:15" x14ac:dyDescent="0.25">
      <c r="B555" t="s">
        <v>253</v>
      </c>
      <c r="D555" t="s">
        <v>254</v>
      </c>
      <c r="K555" t="s">
        <v>255</v>
      </c>
    </row>
    <row r="557" spans="2:15" x14ac:dyDescent="0.25">
      <c r="B557" t="s">
        <v>256</v>
      </c>
      <c r="D557" t="s">
        <v>257</v>
      </c>
      <c r="K557" t="s">
        <v>258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