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Report'!$A$1:$O$551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1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I</v>
      </c>
      <c r="B3" t="str">
        <v>GENERAL REQUIREMENTS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PERMITS, FEES, TAXES AND LICENSES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a. Barangay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b. Local Government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c. BFD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d. DENR Permits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e. Permits and Fees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INSURANCES AND BONDS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a. Guarantee / Warranty Bonds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b. Contractor's All Risk Insurance (CARI)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c. Performance Bond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>d. Other Insurances and Bonds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/>
      </c>
      <c r="B17" t="str">
        <v>Mobilization and Demobilization</v>
      </c>
      <c r="C17" t="str">
        <v>lot</v>
      </c>
      <c r="D17">
        <v>1</v>
      </c>
      <c r="E17">
        <v>103229</v>
      </c>
      <c r="F17">
        <v>103229</v>
      </c>
      <c r="G17">
        <v>0.002394733536358827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>Site Management Work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>a. Project Management</v>
      </c>
      <c r="C20" t="str">
        <v>lot</v>
      </c>
      <c r="D20">
        <v>1</v>
      </c>
      <c r="E20">
        <v>678976</v>
      </c>
      <c r="F20">
        <v>678976</v>
      </c>
      <c r="G20">
        <v>0.01575106411553702</v>
      </c>
      <c r="H20">
        <v>1</v>
      </c>
      <c r="I20" t="str">
        <v>lot</v>
      </c>
      <c r="J20" t="str">
        <v/>
      </c>
      <c r="K20">
        <v>0</v>
      </c>
      <c r="L20">
        <v>0</v>
      </c>
      <c r="M20">
        <v>0</v>
      </c>
      <c r="N20">
        <v>0</v>
      </c>
      <c r="O20" t="str">
        <v>Ongoing</v>
      </c>
    </row>
    <row r="21" xml:space="preserve">
      <c r="A21" t="str">
        <v/>
      </c>
      <c r="B21" t="str" xml:space="preserve">
        <v xml:space="preserve">b. Admin Support_x000d_
  - Accounting, Procurement, Logistics</v>
      </c>
      <c r="C21" t="str">
        <v>lot</v>
      </c>
      <c r="D21">
        <v>1</v>
      </c>
      <c r="E21">
        <v>279579.99999999994</v>
      </c>
      <c r="F21">
        <v>279579.99999999994</v>
      </c>
      <c r="G21">
        <v>0.006485770491772669</v>
      </c>
      <c r="H21">
        <v>1</v>
      </c>
      <c r="I21" t="str">
        <v>lot</v>
      </c>
      <c r="J21" t="str">
        <v/>
      </c>
      <c r="K21">
        <v>0</v>
      </c>
      <c r="L21">
        <v>0</v>
      </c>
      <c r="M21">
        <v>0</v>
      </c>
      <c r="N21">
        <v>0</v>
      </c>
      <c r="O21" t="str">
        <v>Ongoing</v>
      </c>
    </row>
    <row r="22">
      <c r="A22" t="str">
        <v/>
      </c>
      <c r="B22" t="str">
        <v>c.Quality Management</v>
      </c>
      <c r="C22" t="str">
        <v>lot</v>
      </c>
      <c r="D22">
        <v>1</v>
      </c>
      <c r="E22">
        <v>279579.99999999994</v>
      </c>
      <c r="F22">
        <v>279579.99999999994</v>
      </c>
      <c r="G22">
        <v>0.006485770491772669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 xml:space="preserve">
      <c r="A23" t="str">
        <v/>
      </c>
      <c r="B23" t="str" xml:space="preserve">
        <v xml:space="preserve">d. Engineering Management_x000d_
 - Clarifications &amp; Drawings</v>
      </c>
      <c r="C23" t="str">
        <v>lot</v>
      </c>
      <c r="D23">
        <v>1</v>
      </c>
      <c r="E23">
        <v>319519</v>
      </c>
      <c r="F23">
        <v>319519</v>
      </c>
      <c r="G23">
        <v>0.007412285935191043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>Temporary Works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a. Site Office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f>H26*J26</f>
        <v>0</v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 xml:space="preserve">b. Warehouse </v>
      </c>
      <c r="C27" t="str">
        <v>lot</v>
      </c>
      <c r="D27">
        <v>1</v>
      </c>
      <c r="E27">
        <v>51615</v>
      </c>
      <c r="F27">
        <v>51615</v>
      </c>
      <c r="G27">
        <v>0.0011973783673111323</v>
      </c>
      <c r="H27">
        <v>1</v>
      </c>
      <c r="I27" t="str">
        <v>lot</v>
      </c>
      <c r="J27" t="str">
        <v/>
      </c>
      <c r="K27">
        <v>0</v>
      </c>
      <c r="L27">
        <v>0</v>
      </c>
      <c r="M27">
        <v>0</v>
      </c>
      <c r="N27">
        <v>0</v>
      </c>
      <c r="O27" t="str">
        <v>Ongoing</v>
      </c>
    </row>
    <row r="28">
      <c r="A28" t="str">
        <v/>
      </c>
      <c r="B28" t="str">
        <v>b. Site Office Materials &amp; Communication</v>
      </c>
      <c r="C28" t="str">
        <v>lot</v>
      </c>
      <c r="D28">
        <v>1</v>
      </c>
      <c r="E28">
        <v>14747</v>
      </c>
      <c r="F28">
        <v>14747</v>
      </c>
      <c r="G28">
        <v>0.0003421047909084039</v>
      </c>
      <c r="H28">
        <v>1</v>
      </c>
      <c r="I28" t="str">
        <v>lot</v>
      </c>
      <c r="J28" t="str">
        <v/>
      </c>
      <c r="K28">
        <v>0</v>
      </c>
      <c r="L28">
        <v>0</v>
      </c>
      <c r="M28">
        <v>0</v>
      </c>
      <c r="N28">
        <v>0</v>
      </c>
      <c r="O28" t="str">
        <v>Ongoing</v>
      </c>
    </row>
    <row r="29">
      <c r="A29" t="str">
        <v/>
      </c>
      <c r="B29" t="str">
        <v>c. Temporary Tools &amp; Cleaning Materials</v>
      </c>
      <c r="C29" t="str">
        <v>lot</v>
      </c>
      <c r="D29">
        <v>1</v>
      </c>
      <c r="E29">
        <v>7373.999999999999</v>
      </c>
      <c r="F29">
        <v>7373.999999999999</v>
      </c>
      <c r="G29">
        <v>0.00017106399458592054</v>
      </c>
      <c r="H29">
        <v>1</v>
      </c>
      <c r="I29" t="str">
        <v>lot</v>
      </c>
      <c r="J29" t="str">
        <v/>
      </c>
      <c r="K29">
        <v>0</v>
      </c>
      <c r="L29">
        <f>H29*J29</f>
        <v>0</v>
      </c>
      <c r="M29">
        <f>K29+L29</f>
        <v>0</v>
      </c>
      <c r="N29">
        <f>M29/43106674.89</f>
        <v>0</v>
      </c>
      <c r="O29" t="str">
        <v>Ongoing</v>
      </c>
    </row>
    <row r="30" xml:space="preserve">
      <c r="A30" t="str">
        <v/>
      </c>
      <c r="B30" t="str" xml:space="preserve">
        <v xml:space="preserve">b. Off-site Barracks_x000d_
   - Construction and-or Rent_x000d_
   - Electric Consumption_x000d_
   - Water Consumption</v>
      </c>
      <c r="C30" t="str">
        <v>lot</v>
      </c>
      <c r="D30">
        <v>1</v>
      </c>
      <c r="E30">
        <v>184338</v>
      </c>
      <c r="F30">
        <v>184338</v>
      </c>
      <c r="G30">
        <v>0.004276321485486768</v>
      </c>
      <c r="H30">
        <v>1</v>
      </c>
      <c r="I30" t="str">
        <v>lot</v>
      </c>
      <c r="J30" t="str">
        <v/>
      </c>
      <c r="K30">
        <v>0</v>
      </c>
      <c r="L30">
        <f>H30*J30</f>
        <v>0</v>
      </c>
      <c r="M30">
        <f>K30+L30</f>
        <v>0</v>
      </c>
      <c r="N30">
        <f>M30/43106674.89</f>
        <v>0</v>
      </c>
      <c r="O30" t="str">
        <v>Ongoing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f>H31*J31</f>
        <v>0</v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Temporary Utilities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f>H32*J32</f>
        <v>0</v>
      </c>
      <c r="M32">
        <f>K32+L32</f>
        <v>0</v>
      </c>
      <c r="N32">
        <f>M32/43106674.89</f>
        <v>0</v>
      </c>
      <c r="O32" t="str">
        <v/>
      </c>
    </row>
    <row r="33">
      <c r="A33" t="str">
        <v/>
      </c>
      <c r="B33" t="str">
        <v>a. On-Site Water Consumption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b. On-Site Electric Consumption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f>H36*J36</f>
        <v>0</v>
      </c>
      <c r="M36">
        <f>K36+L36</f>
        <v>0</v>
      </c>
      <c r="N36">
        <f>M36/43106674.89</f>
        <v>0</v>
      </c>
      <c r="O36" t="str">
        <v/>
      </c>
    </row>
    <row r="37">
      <c r="A37" t="str">
        <v/>
      </c>
      <c r="B37" t="str">
        <v>Security, Safety and Protection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f>H37*J37</f>
        <v>0</v>
      </c>
      <c r="M37">
        <f>K37+L37</f>
        <v>0</v>
      </c>
      <c r="N37">
        <f>M37/43106674.89</f>
        <v>0</v>
      </c>
      <c r="O37" t="str">
        <v/>
      </c>
    </row>
    <row r="38">
      <c r="A38" t="str">
        <v/>
      </c>
      <c r="B38" t="str">
        <v>a. Safety Officer</v>
      </c>
      <c r="C38" t="str">
        <v>lot</v>
      </c>
      <c r="D38">
        <v>1</v>
      </c>
      <c r="E38">
        <v>331806.99999999994</v>
      </c>
      <c r="F38">
        <v>331806.99999999994</v>
      </c>
      <c r="G38">
        <v>0.007697346196307368</v>
      </c>
      <c r="H38">
        <v>1</v>
      </c>
      <c r="I38" t="str">
        <v>lot</v>
      </c>
      <c r="J38" t="str">
        <v/>
      </c>
      <c r="K38">
        <v>0</v>
      </c>
      <c r="L38">
        <f>H38*J38</f>
        <v>0</v>
      </c>
      <c r="M38">
        <f>K38+L38</f>
        <v>0</v>
      </c>
      <c r="N38">
        <f>M38/43106674.89</f>
        <v>0</v>
      </c>
      <c r="O38" t="str">
        <v>Ongoing</v>
      </c>
    </row>
    <row r="39">
      <c r="A39" t="str">
        <v/>
      </c>
      <c r="B39" t="str">
        <v>b. Personal Protective Equipment (PPE's)</v>
      </c>
      <c r="C39" t="str">
        <v>lot</v>
      </c>
      <c r="D39">
        <v>1</v>
      </c>
      <c r="E39">
        <v>73735</v>
      </c>
      <c r="F39">
        <v>73735</v>
      </c>
      <c r="G39">
        <v>0.0017105239545420195</v>
      </c>
      <c r="H39">
        <v>1</v>
      </c>
      <c r="I39" t="str">
        <v>lot</v>
      </c>
      <c r="J39" t="str">
        <v/>
      </c>
      <c r="K39">
        <v>0</v>
      </c>
      <c r="L39">
        <f>H39*J39</f>
        <v>0</v>
      </c>
      <c r="M39">
        <f>K39+L39</f>
        <v>0</v>
      </c>
      <c r="N39">
        <f>M39/43106674.89</f>
        <v>0</v>
      </c>
      <c r="O39" t="str">
        <v>Ongoing</v>
      </c>
    </row>
    <row r="40">
      <c r="A40" t="str">
        <v/>
      </c>
      <c r="B40" t="str">
        <v>b. Security Guards</v>
      </c>
      <c r="C40" t="str">
        <v>lot</v>
      </c>
      <c r="D40">
        <v>1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>Quality Standard and Control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a. Shopdrawings, As-built plans for Occupancy including Sign &amp; Seal</v>
      </c>
      <c r="C43" t="str">
        <v>lot</v>
      </c>
      <c r="D43">
        <v>1</v>
      </c>
      <c r="E43">
        <v>117976</v>
      </c>
      <c r="F43">
        <v>117976</v>
      </c>
      <c r="G43">
        <v>0.0027368383272672312</v>
      </c>
      <c r="H43">
        <v>1</v>
      </c>
      <c r="I43" t="str">
        <v>lot</v>
      </c>
      <c r="J43" t="str">
        <v/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b. Material Testing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>Transportation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>a. Manpower Service</v>
      </c>
      <c r="C47" t="str">
        <v>lot</v>
      </c>
      <c r="D47">
        <v>1</v>
      </c>
      <c r="E47">
        <v>147470</v>
      </c>
      <c r="F47">
        <v>147470</v>
      </c>
      <c r="G47">
        <v>0.003421047909084039</v>
      </c>
      <c r="H47">
        <v>1</v>
      </c>
      <c r="I47" t="str">
        <v>lot</v>
      </c>
      <c r="J47" t="str">
        <v/>
      </c>
      <c r="K47">
        <v>0</v>
      </c>
      <c r="L47">
        <f>H47*J47</f>
        <v>0</v>
      </c>
      <c r="M47">
        <f>K47+L47</f>
        <v>0</v>
      </c>
      <c r="N47">
        <f>M47/43106674.89</f>
        <v>0</v>
      </c>
      <c r="O47" t="str">
        <v>Ongoing</v>
      </c>
    </row>
    <row r="48">
      <c r="A48" t="str">
        <v/>
      </c>
      <c r="B48" t="str">
        <v>b. Engineer Transportation</v>
      </c>
      <c r="C48" t="str">
        <v>lot</v>
      </c>
      <c r="D48">
        <v>1</v>
      </c>
      <c r="E48">
        <v>110603</v>
      </c>
      <c r="F48">
        <v>110603</v>
      </c>
      <c r="G48">
        <v>0.0025657975309447477</v>
      </c>
      <c r="H48">
        <v>1</v>
      </c>
      <c r="I48" t="str">
        <v>lot</v>
      </c>
      <c r="J48" t="str">
        <v/>
      </c>
      <c r="K48">
        <v>0</v>
      </c>
      <c r="L48">
        <f>H48*J48</f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c. Village Delivery/Gate Pass Fees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f>H52*J52</f>
        <v>0</v>
      </c>
      <c r="M52">
        <f>K52+L52</f>
        <v>0</v>
      </c>
      <c r="N52">
        <f>M52/43106674.89</f>
        <v>0</v>
      </c>
      <c r="O52" t="str">
        <v/>
      </c>
    </row>
    <row r="53">
      <c r="A53" t="str">
        <v>III</v>
      </c>
      <c r="B53" t="str">
        <v>MECHANICAL WORKS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/>
      </c>
      <c r="B55" t="str">
        <v>Mechanical Works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f>H56*J56</f>
        <v>0</v>
      </c>
      <c r="M56">
        <f>K56+L56</f>
        <v>0</v>
      </c>
      <c r="N56">
        <f>M56/43106674.89</f>
        <v>0</v>
      </c>
      <c r="O56" t="str">
        <v/>
      </c>
    </row>
    <row r="57">
      <c r="A57" t="str">
        <v>I-A.</v>
      </c>
      <c r="B57" t="str">
        <v>AIR CONDITIONING- VRV SYSTEM A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>
        <f>H57*J57</f>
        <v>0</v>
      </c>
      <c r="M57">
        <f>K57+L57</f>
        <v>0</v>
      </c>
      <c r="N57">
        <f>M57/43106674.89</f>
        <v>0</v>
      </c>
      <c r="O57" t="str">
        <v/>
      </c>
    </row>
    <row r="58">
      <c r="A58" t="str">
        <v/>
      </c>
      <c r="B58" t="str">
        <v>ACCU- 18HP Model: RXQ18BYM</v>
      </c>
      <c r="C58" t="str">
        <v>units</v>
      </c>
      <c r="D58">
        <v>3</v>
      </c>
      <c r="E58">
        <v>741057.71</v>
      </c>
      <c r="F58">
        <v>2223173.13</v>
      </c>
      <c r="G58">
        <v>0.05157375593624682</v>
      </c>
      <c r="H58" t="str">
        <v/>
      </c>
      <c r="I58" t="str">
        <v>units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FCU- 2 HP Wall Mounted VRF A (OR No. 2, PNCOU, OR No.3, OR, Pantry, OR Complex Conference Room) Model: FXAQ50BVM</v>
      </c>
      <c r="C59" t="str">
        <v>units</v>
      </c>
      <c r="D59">
        <v>6</v>
      </c>
      <c r="E59">
        <v>55087.33999999999</v>
      </c>
      <c r="F59">
        <v>330524.0399999999</v>
      </c>
      <c r="G59">
        <v>0.007667583752247976</v>
      </c>
      <c r="H59" t="str">
        <v/>
      </c>
      <c r="I59" t="str">
        <v>units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FCU- 2.5HP Wall Mounted VRF A (OR No. 2 ENT, OR No. 1 ENT, Chief Nurse, OR Pharmacy) Model: FXAQ63BVM</v>
      </c>
      <c r="C60" t="str">
        <v>units</v>
      </c>
      <c r="D60">
        <v>3</v>
      </c>
      <c r="E60">
        <v>56222.86000000001</v>
      </c>
      <c r="F60">
        <v>168668.58000000002</v>
      </c>
      <c r="G60">
        <v>0.0039128181524186205</v>
      </c>
      <c r="H60" t="str">
        <v/>
      </c>
      <c r="I60" t="str">
        <v>units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FCU- 6HP ceiling Cassette VRF A (Corridor Near OR No.1, Corridor Near OR No. 2 ENT) Model: FXFQ140AVM</v>
      </c>
      <c r="C61" t="str">
        <v>units</v>
      </c>
      <c r="D61">
        <v>2</v>
      </c>
      <c r="E61">
        <v>87530.69</v>
      </c>
      <c r="F61">
        <v>175061.38</v>
      </c>
      <c r="G61">
        <v>0.004061120010919959</v>
      </c>
      <c r="H61" t="str">
        <v/>
      </c>
      <c r="I61" t="str">
        <v>units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/>
      </c>
      <c r="B63" t="str">
        <v>Accessories: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/>
      </c>
      <c r="B64" t="str">
        <v>Navigation Wired Controller Model: BRC1E63</v>
      </c>
      <c r="C64" t="str">
        <v>units</v>
      </c>
      <c r="D64">
        <v>11</v>
      </c>
      <c r="E64">
        <v>11760.720000000003</v>
      </c>
      <c r="F64">
        <v>129367.92000000003</v>
      </c>
      <c r="G64">
        <v>0.0030011110884827514</v>
      </c>
      <c r="H64" t="str">
        <v/>
      </c>
      <c r="I64" t="str">
        <v>units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Standard panel(Fresh white) Model: BYCQ125EAF</v>
      </c>
      <c r="C65" t="str">
        <v>units</v>
      </c>
      <c r="D65">
        <v>2</v>
      </c>
      <c r="E65">
        <v>22345.370000000003</v>
      </c>
      <c r="F65">
        <v>44690.740000000005</v>
      </c>
      <c r="G65">
        <v>0.0010367475597234585</v>
      </c>
      <c r="H65" t="str">
        <v/>
      </c>
      <c r="I65" t="str">
        <v>units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>Refnet Joints Model: KHRP26A22T</v>
      </c>
      <c r="C66" t="str">
        <v>units</v>
      </c>
      <c r="D66">
        <v>2</v>
      </c>
      <c r="E66">
        <v>4351.47</v>
      </c>
      <c r="F66">
        <v>8702.94</v>
      </c>
      <c r="G66">
        <v>0.00020189309479815451</v>
      </c>
      <c r="H66" t="str">
        <v/>
      </c>
      <c r="I66" t="str">
        <v>units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Ongoing</v>
      </c>
    </row>
    <row r="67">
      <c r="A67" t="str">
        <v/>
      </c>
      <c r="B67" t="str">
        <v>Refnet Joints Model: KHRP26A33T</v>
      </c>
      <c r="C67" t="str">
        <v>units</v>
      </c>
      <c r="D67">
        <v>2</v>
      </c>
      <c r="E67">
        <v>4939.510000000001</v>
      </c>
      <c r="F67">
        <v>9879.020000000002</v>
      </c>
      <c r="G67">
        <v>0.00022917610846137797</v>
      </c>
      <c r="H67" t="str">
        <v/>
      </c>
      <c r="I67" t="str">
        <v>units</v>
      </c>
      <c r="J67">
        <v>0</v>
      </c>
      <c r="K67">
        <v>0</v>
      </c>
      <c r="L67">
        <f>H67*J67</f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Refnet Joints Model: KHRP26A732T</v>
      </c>
      <c r="C68" t="str">
        <v>units</v>
      </c>
      <c r="D68">
        <v>3</v>
      </c>
      <c r="E68">
        <v>8232.51</v>
      </c>
      <c r="F68">
        <v>24697.53</v>
      </c>
      <c r="G68">
        <v>0.0005729398071881761</v>
      </c>
      <c r="H68" t="str">
        <v/>
      </c>
      <c r="I68" t="str">
        <v>units</v>
      </c>
      <c r="J68">
        <v>0</v>
      </c>
      <c r="K68">
        <v>0</v>
      </c>
      <c r="L68">
        <f>H68*J68</f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Refnet Joints Model: KHRP26A733T</v>
      </c>
      <c r="C69" t="str">
        <v>units</v>
      </c>
      <c r="D69">
        <v>3</v>
      </c>
      <c r="E69">
        <v>14112.87</v>
      </c>
      <c r="F69">
        <v>42338.61</v>
      </c>
      <c r="G69">
        <v>0.0009821822283449149</v>
      </c>
      <c r="H69" t="str">
        <v/>
      </c>
      <c r="I69" t="str">
        <v>units</v>
      </c>
      <c r="J69">
        <v>0</v>
      </c>
      <c r="K69">
        <v>0</v>
      </c>
      <c r="L69">
        <f>H69*J69</f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Pipe Size Reducer Model: KHRP26M73TP</v>
      </c>
      <c r="C70" t="str">
        <v>units</v>
      </c>
      <c r="D70">
        <v>3</v>
      </c>
      <c r="E70">
        <v>5997.970000000001</v>
      </c>
      <c r="F70">
        <v>17993.910000000003</v>
      </c>
      <c r="G70">
        <v>0.00041742746444528643</v>
      </c>
      <c r="H70" t="str">
        <v/>
      </c>
      <c r="I70" t="str">
        <v>units</v>
      </c>
      <c r="J70">
        <v>0</v>
      </c>
      <c r="K70">
        <v>0</v>
      </c>
      <c r="L70">
        <f>H70*J70</f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VRV Multi Con piping kit Model: BHFP22R168-7</v>
      </c>
      <c r="C71" t="str">
        <v>units</v>
      </c>
      <c r="D71">
        <v>1</v>
      </c>
      <c r="E71">
        <v>39751.22</v>
      </c>
      <c r="F71">
        <v>39751.22</v>
      </c>
      <c r="G71">
        <v>0.0009221592735101353</v>
      </c>
      <c r="H71" t="str">
        <v/>
      </c>
      <c r="I71" t="str">
        <v>units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>
        <f>H73*J73</f>
        <v>0</v>
      </c>
      <c r="M73">
        <f>K73+L73</f>
        <v>0</v>
      </c>
      <c r="N73">
        <f>M73/43106674.89</f>
        <v>0</v>
      </c>
      <c r="O73" t="str">
        <v/>
      </c>
    </row>
    <row r="74">
      <c r="A74" t="str">
        <v/>
      </c>
      <c r="B74" t="str">
        <v xml:space="preserve">Copper Pipes - Type L Hard Drawn Pipes 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>
        <f>H74*J74</f>
        <v>0</v>
      </c>
      <c r="M74">
        <f>K74+L74</f>
        <v>0</v>
      </c>
      <c r="N74">
        <f>M74/43106674.89</f>
        <v>0</v>
      </c>
      <c r="O74" t="str">
        <v/>
      </c>
    </row>
    <row r="75">
      <c r="A75" t="str">
        <v/>
      </c>
      <c r="B75" t="str">
        <v>1/4"</v>
      </c>
      <c r="C75" t="str">
        <v>length/s</v>
      </c>
      <c r="D75">
        <v>10</v>
      </c>
      <c r="E75">
        <v>2120.33</v>
      </c>
      <c r="F75">
        <v>21203.3</v>
      </c>
      <c r="G75">
        <v>0.000491879739138005</v>
      </c>
      <c r="H75" t="str">
        <v/>
      </c>
      <c r="I75" t="str">
        <v>length/s</v>
      </c>
      <c r="J75">
        <v>0</v>
      </c>
      <c r="K75">
        <v>0</v>
      </c>
      <c r="L75">
        <f>H75*J75</f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3/8"</v>
      </c>
      <c r="C76" t="str">
        <v>length/s</v>
      </c>
      <c r="D76">
        <v>13</v>
      </c>
      <c r="E76">
        <v>2952.3500000000004</v>
      </c>
      <c r="F76">
        <v>38380.55</v>
      </c>
      <c r="G76">
        <v>0.0008903621097646669</v>
      </c>
      <c r="H76" t="str">
        <v/>
      </c>
      <c r="I76" t="str">
        <v>length/s</v>
      </c>
      <c r="J76">
        <v>0</v>
      </c>
      <c r="K76">
        <v>0</v>
      </c>
      <c r="L76">
        <f>H76*J76</f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1/2"</v>
      </c>
      <c r="C77" t="str">
        <v>length/s</v>
      </c>
      <c r="D77">
        <v>14</v>
      </c>
      <c r="E77">
        <v>4696.92</v>
      </c>
      <c r="F77">
        <v>65756.88</v>
      </c>
      <c r="G77">
        <v>0.001525445425048417</v>
      </c>
      <c r="H77" t="str">
        <v/>
      </c>
      <c r="I77" t="str">
        <v>length/s</v>
      </c>
      <c r="J77">
        <v>0</v>
      </c>
      <c r="K77">
        <v>0</v>
      </c>
      <c r="L77">
        <f>H77*J77</f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5/8"</v>
      </c>
      <c r="C78" t="str">
        <v>length/s</v>
      </c>
      <c r="D78">
        <v>9</v>
      </c>
      <c r="E78">
        <v>6775.95</v>
      </c>
      <c r="F78">
        <v>60983.549999999996</v>
      </c>
      <c r="G78">
        <v>0.001414712458235722</v>
      </c>
      <c r="H78" t="str">
        <v/>
      </c>
      <c r="I78" t="str">
        <v>length/s</v>
      </c>
      <c r="J78">
        <v>0</v>
      </c>
      <c r="K78">
        <v>0</v>
      </c>
      <c r="L78">
        <f>H78*J78</f>
        <v>0</v>
      </c>
      <c r="M78">
        <f>K78+L78</f>
        <v>0</v>
      </c>
      <c r="N78">
        <f>M78/43106674.89</f>
        <v>0</v>
      </c>
      <c r="O78" t="str">
        <v>Ongoing</v>
      </c>
    </row>
    <row r="79">
      <c r="A79" t="str">
        <v/>
      </c>
      <c r="B79" t="str">
        <v>3/4"</v>
      </c>
      <c r="C79" t="str">
        <v>length/s</v>
      </c>
      <c r="D79">
        <v>9</v>
      </c>
      <c r="E79">
        <v>8642.33</v>
      </c>
      <c r="F79">
        <v>77780.97</v>
      </c>
      <c r="G79">
        <v>0.001804383432461032</v>
      </c>
      <c r="H79" t="str">
        <v/>
      </c>
      <c r="I79" t="str">
        <v>length/s</v>
      </c>
      <c r="J79">
        <v>0</v>
      </c>
      <c r="K79">
        <v>0</v>
      </c>
      <c r="L79">
        <f>H79*J79</f>
        <v>0</v>
      </c>
      <c r="M79">
        <f>K79+L79</f>
        <v>0</v>
      </c>
      <c r="N79">
        <f>M79/43106674.89</f>
        <v>0</v>
      </c>
      <c r="O79" t="str">
        <v>Ongoing</v>
      </c>
    </row>
    <row r="80">
      <c r="A80" t="str">
        <v/>
      </c>
      <c r="B80" t="str">
        <v>7/8"</v>
      </c>
      <c r="C80" t="str">
        <v>length/s</v>
      </c>
      <c r="D80">
        <v>2</v>
      </c>
      <c r="E80">
        <v>10870.01</v>
      </c>
      <c r="F80">
        <v>21740.02</v>
      </c>
      <c r="G80">
        <v>0.0005043307110900196</v>
      </c>
      <c r="H80" t="str">
        <v/>
      </c>
      <c r="I80" t="str">
        <v>length/s</v>
      </c>
      <c r="J80">
        <v>0</v>
      </c>
      <c r="K80">
        <v>0</v>
      </c>
      <c r="L80">
        <f>H80*J80</f>
        <v>0</v>
      </c>
      <c r="M80">
        <f>K80+L80</f>
        <v>0</v>
      </c>
      <c r="N80">
        <f>M80/43106674.89</f>
        <v>0</v>
      </c>
      <c r="O80" t="str">
        <v>Ongoing</v>
      </c>
    </row>
    <row r="81">
      <c r="A81" t="str">
        <v/>
      </c>
      <c r="B81" t="str">
        <v>1-1/8"</v>
      </c>
      <c r="C81" t="str">
        <v>length/s</v>
      </c>
      <c r="D81">
        <v>8</v>
      </c>
      <c r="E81">
        <v>15566.920000000002</v>
      </c>
      <c r="F81">
        <v>124535.36000000002</v>
      </c>
      <c r="G81">
        <v>0.0028890040885266705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1-3/8"</v>
      </c>
      <c r="C82" t="str">
        <v>length/s</v>
      </c>
      <c r="D82">
        <v>5</v>
      </c>
      <c r="E82">
        <v>21015.330000000005</v>
      </c>
      <c r="F82">
        <v>105076.65000000002</v>
      </c>
      <c r="G82">
        <v>0.0024375958077985723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1-5/8"</v>
      </c>
      <c r="C83" t="str">
        <v>length/s</v>
      </c>
      <c r="D83">
        <v>4</v>
      </c>
      <c r="E83">
        <v>21015.33</v>
      </c>
      <c r="F83">
        <v>84061.32</v>
      </c>
      <c r="G83">
        <v>0.0019500766462388574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Ongoing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>
        <f>H84*J84</f>
        <v>0</v>
      </c>
      <c r="M84">
        <f>K84+L84</f>
        <v>0</v>
      </c>
      <c r="N84">
        <f>M84/43106674.89</f>
        <v>0</v>
      </c>
      <c r="O84" t="str">
        <v/>
      </c>
    </row>
    <row r="85">
      <c r="A85" t="str">
        <v/>
      </c>
      <c r="B85" t="str">
        <v xml:space="preserve">Copper Pipes Insulation 25mm Thick 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>
        <f>H85*J85</f>
        <v>0</v>
      </c>
      <c r="M85">
        <f>K85+L85</f>
        <v>0</v>
      </c>
      <c r="N85">
        <f>M85/43106674.89</f>
        <v>0</v>
      </c>
      <c r="O85" t="str">
        <v/>
      </c>
    </row>
    <row r="86">
      <c r="A86" t="str">
        <v/>
      </c>
      <c r="B86" t="str">
        <v>1/4"</v>
      </c>
      <c r="C86" t="str">
        <v>length/s</v>
      </c>
      <c r="D86">
        <v>19</v>
      </c>
      <c r="E86">
        <v>433.57</v>
      </c>
      <c r="F86">
        <v>8237.83</v>
      </c>
      <c r="G86">
        <v>0.00019110335049087794</v>
      </c>
      <c r="H86" t="str">
        <v/>
      </c>
      <c r="I86" t="str">
        <v>length/s</v>
      </c>
      <c r="J86">
        <v>0</v>
      </c>
      <c r="K86">
        <v>0</v>
      </c>
      <c r="L86">
        <f>H86*J86</f>
        <v>0</v>
      </c>
      <c r="M86">
        <f>K86+L86</f>
        <v>0</v>
      </c>
      <c r="N86">
        <f>M86/43106674.89</f>
        <v>0</v>
      </c>
      <c r="O86" t="str">
        <v>Ongoing</v>
      </c>
    </row>
    <row r="87">
      <c r="A87" t="str">
        <v/>
      </c>
      <c r="B87" t="str">
        <v>3/8"</v>
      </c>
      <c r="C87" t="str">
        <v>length/s</v>
      </c>
      <c r="D87">
        <v>26</v>
      </c>
      <c r="E87">
        <v>441.8299999999999</v>
      </c>
      <c r="F87">
        <v>11487.579999999998</v>
      </c>
      <c r="G87">
        <v>0.000266491907095922</v>
      </c>
      <c r="H87" t="str">
        <v/>
      </c>
      <c r="I87" t="str">
        <v>length/s</v>
      </c>
      <c r="J87">
        <v>0</v>
      </c>
      <c r="K87">
        <v>0</v>
      </c>
      <c r="L87">
        <f>H87*J87</f>
        <v>0</v>
      </c>
      <c r="M87">
        <f>K87+L87</f>
        <v>0</v>
      </c>
      <c r="N87">
        <f>M87/43106674.89</f>
        <v>0</v>
      </c>
      <c r="O87" t="str">
        <v>Ongoing</v>
      </c>
    </row>
    <row r="88">
      <c r="A88" t="str">
        <v/>
      </c>
      <c r="B88" t="str">
        <v>1/2"</v>
      </c>
      <c r="C88" t="str">
        <v>length/s</v>
      </c>
      <c r="D88">
        <v>27</v>
      </c>
      <c r="E88">
        <v>516.15</v>
      </c>
      <c r="F88">
        <v>13936.05</v>
      </c>
      <c r="G88">
        <v>0.0003232921591740057</v>
      </c>
      <c r="H88" t="str">
        <v/>
      </c>
      <c r="I88" t="str">
        <v>length/s</v>
      </c>
      <c r="J88">
        <v>0</v>
      </c>
      <c r="K88">
        <v>0</v>
      </c>
      <c r="L88">
        <f>H88*J88</f>
        <v>0</v>
      </c>
      <c r="M88">
        <f>K88+L88</f>
        <v>0</v>
      </c>
      <c r="N88">
        <f>M88/43106674.89</f>
        <v>0</v>
      </c>
      <c r="O88" t="str">
        <v>Ongoing</v>
      </c>
    </row>
    <row r="89">
      <c r="A89" t="str">
        <v/>
      </c>
      <c r="B89" t="str">
        <v>5/8"</v>
      </c>
      <c r="C89" t="str">
        <v>length/s</v>
      </c>
      <c r="D89">
        <v>18</v>
      </c>
      <c r="E89">
        <v>629.71</v>
      </c>
      <c r="F89">
        <v>11334.78</v>
      </c>
      <c r="G89">
        <v>0.00026294721244271774</v>
      </c>
      <c r="H89" t="str">
        <v/>
      </c>
      <c r="I89" t="str">
        <v>length/s</v>
      </c>
      <c r="J89">
        <v>0</v>
      </c>
      <c r="K89">
        <v>0</v>
      </c>
      <c r="L89">
        <f>H89*J89</f>
        <v>0</v>
      </c>
      <c r="M89">
        <f>K89+L89</f>
        <v>0</v>
      </c>
      <c r="N89">
        <f>M89/43106674.89</f>
        <v>0</v>
      </c>
      <c r="O89" t="str">
        <v>Ongoing</v>
      </c>
    </row>
    <row r="90">
      <c r="A90" t="str">
        <v/>
      </c>
      <c r="B90" t="str">
        <v>3/4"</v>
      </c>
      <c r="C90" t="str">
        <v>length/s</v>
      </c>
      <c r="D90">
        <v>17</v>
      </c>
      <c r="E90">
        <v>708.16</v>
      </c>
      <c r="F90">
        <v>12038.72</v>
      </c>
      <c r="G90">
        <v>0.00027927739800670103</v>
      </c>
      <c r="H90" t="str">
        <v/>
      </c>
      <c r="I90" t="str">
        <v>length/s</v>
      </c>
      <c r="J90">
        <v>0</v>
      </c>
      <c r="K90">
        <v>0</v>
      </c>
      <c r="L90">
        <f>H90*J90</f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7/8"</v>
      </c>
      <c r="C91" t="str">
        <v>length/s</v>
      </c>
      <c r="D91">
        <v>4</v>
      </c>
      <c r="E91">
        <v>784.55</v>
      </c>
      <c r="F91">
        <v>3138.2</v>
      </c>
      <c r="G91">
        <v>0.00007280079031862434</v>
      </c>
      <c r="H91" t="str">
        <v/>
      </c>
      <c r="I91" t="str">
        <v>length/s</v>
      </c>
      <c r="J91">
        <v>0</v>
      </c>
      <c r="K91">
        <v>0</v>
      </c>
      <c r="L91">
        <f>H91*J91</f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1-1/8"</v>
      </c>
      <c r="C92" t="str">
        <v>length/s</v>
      </c>
      <c r="D92">
        <v>15</v>
      </c>
      <c r="E92">
        <v>846.49</v>
      </c>
      <c r="F92">
        <v>12697.35</v>
      </c>
      <c r="G92">
        <v>0.00029455647025434476</v>
      </c>
      <c r="H92" t="str">
        <v/>
      </c>
      <c r="I92" t="str">
        <v>length/s</v>
      </c>
      <c r="J92">
        <v>0</v>
      </c>
      <c r="K92">
        <v>0</v>
      </c>
      <c r="L92">
        <f>H92*J92</f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1-3/8"</v>
      </c>
      <c r="C93" t="str">
        <v>length/s</v>
      </c>
      <c r="D93">
        <v>10</v>
      </c>
      <c r="E93">
        <v>896.03</v>
      </c>
      <c r="F93">
        <v>8960.3</v>
      </c>
      <c r="G93">
        <v>0.00020786339987635257</v>
      </c>
      <c r="H93" t="str">
        <v/>
      </c>
      <c r="I93" t="str">
        <v>length/s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1-5/8"</v>
      </c>
      <c r="C94" t="str">
        <v>length/s</v>
      </c>
      <c r="D94">
        <v>8</v>
      </c>
      <c r="E94">
        <v>896.03</v>
      </c>
      <c r="F94">
        <v>7168.24</v>
      </c>
      <c r="G94">
        <v>0.00016629071990108206</v>
      </c>
      <c r="H94" t="str">
        <v/>
      </c>
      <c r="I94" t="str">
        <v>length/s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>
        <f>H95*J95</f>
        <v>0</v>
      </c>
      <c r="M95">
        <f>K95+L95</f>
        <v>0</v>
      </c>
      <c r="N95">
        <f>M95/43106674.89</f>
        <v>0</v>
      </c>
      <c r="O95" t="str">
        <v/>
      </c>
    </row>
    <row r="96">
      <c r="A96" t="str">
        <v/>
      </c>
      <c r="B96" t="str">
        <v>Copper Pipe Fittings</v>
      </c>
      <c r="C96" t="str">
        <v>lot</v>
      </c>
      <c r="D96">
        <v>1</v>
      </c>
      <c r="E96">
        <v>57975.92</v>
      </c>
      <c r="F96">
        <v>57975.92</v>
      </c>
      <c r="G96">
        <v>0.001344940665174093</v>
      </c>
      <c r="H96">
        <v>1</v>
      </c>
      <c r="I96" t="str">
        <v>lot</v>
      </c>
      <c r="J96" t="str">
        <v/>
      </c>
      <c r="K96">
        <v>0</v>
      </c>
      <c r="L96">
        <f>H96*J96</f>
        <v>0</v>
      </c>
      <c r="M96">
        <f>K96+L96</f>
        <v>0</v>
      </c>
      <c r="N96">
        <f>M96/43106674.89</f>
        <v>0</v>
      </c>
      <c r="O96" t="str">
        <v>Ongoing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>
        <f>H97*J97</f>
        <v>0</v>
      </c>
      <c r="M97">
        <f>K97+L97</f>
        <v>0</v>
      </c>
      <c r="N97">
        <f>M97/43106674.89</f>
        <v>0</v>
      </c>
      <c r="O97" t="str">
        <v/>
      </c>
    </row>
    <row r="98">
      <c r="A98" t="str">
        <v/>
      </c>
      <c r="B98" t="str">
        <v>Isolation Ball Valves</v>
      </c>
      <c r="C98" t="str">
        <v>pc/s</v>
      </c>
      <c r="D98">
        <v>22</v>
      </c>
      <c r="E98">
        <v>3207.4800000000005</v>
      </c>
      <c r="F98">
        <v>70564.56000000001</v>
      </c>
      <c r="G98">
        <v>0.0016369752522101802</v>
      </c>
      <c r="H98" t="str">
        <v/>
      </c>
      <c r="I98" t="str">
        <v>pc/s</v>
      </c>
      <c r="J98">
        <v>0</v>
      </c>
      <c r="K98">
        <v>0</v>
      </c>
      <c r="L98">
        <f>H98*J98</f>
        <v>0</v>
      </c>
      <c r="M98">
        <f>K98+L98</f>
        <v>0</v>
      </c>
      <c r="N98">
        <f>M98/43106674.89</f>
        <v>0</v>
      </c>
      <c r="O98" t="str">
        <v>Ongoing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>
        <f>H99*J99</f>
        <v>0</v>
      </c>
      <c r="M99">
        <f>K99+L99</f>
        <v>0</v>
      </c>
      <c r="N99">
        <f>M99/43106674.89</f>
        <v>0</v>
      </c>
      <c r="O99" t="str">
        <v/>
      </c>
    </row>
    <row r="100">
      <c r="A100" t="str">
        <v/>
      </c>
      <c r="B100" t="str">
        <v>PVC Cladding Works</v>
      </c>
      <c r="C100" t="str">
        <v>lot</v>
      </c>
      <c r="D100">
        <v>1</v>
      </c>
      <c r="E100">
        <v>22281.85</v>
      </c>
      <c r="F100">
        <v>22281.85</v>
      </c>
      <c r="G100">
        <v>0.0005169002261681983</v>
      </c>
      <c r="H100">
        <v>1</v>
      </c>
      <c r="I100" t="str">
        <v>lot</v>
      </c>
      <c r="J100" t="str">
        <v/>
      </c>
      <c r="K100">
        <v>0</v>
      </c>
      <c r="L100">
        <f>H100*J100</f>
        <v>0</v>
      </c>
      <c r="M100">
        <f>K100+L100</f>
        <v>0</v>
      </c>
      <c r="N100">
        <f>M100/43106674.89</f>
        <v>0</v>
      </c>
      <c r="O100" t="str">
        <v>Ongoing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>
        <f>H101*J101</f>
        <v>0</v>
      </c>
      <c r="M101">
        <f>K101+L101</f>
        <v>0</v>
      </c>
      <c r="N101">
        <f>M101/43106674.89</f>
        <v>0</v>
      </c>
      <c r="O101" t="str">
        <v/>
      </c>
    </row>
    <row r="102">
      <c r="A102" t="str">
        <v/>
      </c>
      <c r="B102" t="str">
        <v>Concrete Pad</v>
      </c>
      <c r="C102" t="str">
        <v>pcs</v>
      </c>
      <c r="D102">
        <v>3</v>
      </c>
      <c r="E102">
        <v>9622.41</v>
      </c>
      <c r="F102">
        <v>28867.23</v>
      </c>
      <c r="G102">
        <v>0.0006696696062422733</v>
      </c>
      <c r="H102" t="str">
        <v/>
      </c>
      <c r="I102" t="str">
        <v>pcs</v>
      </c>
      <c r="J102" t="str">
        <v/>
      </c>
      <c r="K102">
        <v>0</v>
      </c>
      <c r="L102">
        <f>H102*J102</f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>
        <f>H103*J103</f>
        <v>0</v>
      </c>
      <c r="M103">
        <f>K103+L103</f>
        <v>0</v>
      </c>
      <c r="N103">
        <f>M103/43106674.89</f>
        <v>0</v>
      </c>
      <c r="O103" t="str">
        <v/>
      </c>
    </row>
    <row r="104">
      <c r="A104" t="str">
        <v/>
      </c>
      <c r="B104" t="str">
        <v>Condensate Drain Pipes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/>
      </c>
      <c r="B105" t="str">
        <v>32mm dia. uPVC blue pipe PNS 65</v>
      </c>
      <c r="C105" t="str">
        <v>length/s</v>
      </c>
      <c r="D105">
        <v>39</v>
      </c>
      <c r="E105">
        <v>404.15</v>
      </c>
      <c r="F105">
        <v>15761.849999999999</v>
      </c>
      <c r="G105">
        <v>0.00036564754855764736</v>
      </c>
      <c r="H105" t="str">
        <v/>
      </c>
      <c r="I105" t="str">
        <v>length/s</v>
      </c>
      <c r="J105">
        <v>0</v>
      </c>
      <c r="K105">
        <v>0</v>
      </c>
      <c r="L105">
        <f>H105*J105</f>
        <v>0</v>
      </c>
      <c r="M105">
        <f>K105+L105</f>
        <v>0</v>
      </c>
      <c r="N105">
        <f>M105/43106674.89</f>
        <v>0</v>
      </c>
      <c r="O105" t="str">
        <v>Ongoing</v>
      </c>
    </row>
    <row r="106">
      <c r="A106" t="str">
        <v/>
      </c>
      <c r="B106" t="str">
        <v>50mm dia. PVC blue uPVC blue pipe PNS 65</v>
      </c>
      <c r="C106" t="str">
        <v>length/s</v>
      </c>
      <c r="D106">
        <v>22</v>
      </c>
      <c r="E106">
        <v>641.8299999999999</v>
      </c>
      <c r="F106">
        <v>14120.259999999998</v>
      </c>
      <c r="G106">
        <v>0.0003275655112817725</v>
      </c>
      <c r="H106" t="str">
        <v/>
      </c>
      <c r="I106" t="str">
        <v>length/s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>
        <f>H107*J107</f>
        <v>0</v>
      </c>
      <c r="M107">
        <f>K107+L107</f>
        <v>0</v>
      </c>
      <c r="N107">
        <f>M107/43106674.89</f>
        <v>0</v>
      </c>
      <c r="O107" t="str">
        <v/>
      </c>
    </row>
    <row r="108">
      <c r="A108" t="str">
        <v/>
      </c>
      <c r="B108" t="str">
        <v>Condensate Drain Pipes Rubber Insulation 1.5 meters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3/4'' thick for 32mm pvc</v>
      </c>
      <c r="C109" t="str">
        <v>length/s</v>
      </c>
      <c r="D109">
        <v>77</v>
      </c>
      <c r="E109">
        <v>427.66999999999996</v>
      </c>
      <c r="F109">
        <v>32930.59</v>
      </c>
      <c r="G109">
        <v>0.0007639325019624585</v>
      </c>
      <c r="H109" t="str">
        <v/>
      </c>
      <c r="I109" t="str">
        <v>length/s</v>
      </c>
      <c r="J109">
        <v>0</v>
      </c>
      <c r="K109">
        <v>0</v>
      </c>
      <c r="L109">
        <f>H109*J109</f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3/4'' thick for 50mm pvc</v>
      </c>
      <c r="C110" t="str">
        <v>length/s</v>
      </c>
      <c r="D110">
        <v>43</v>
      </c>
      <c r="E110">
        <v>812.5699999999998</v>
      </c>
      <c r="F110">
        <v>34940.509999999995</v>
      </c>
      <c r="G110">
        <v>0.0008105591556101575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>
        <f>H111*J111</f>
        <v>0</v>
      </c>
      <c r="M111">
        <f>K111+L111</f>
        <v>0</v>
      </c>
      <c r="N111">
        <f>M111/43106674.89</f>
        <v>0</v>
      </c>
      <c r="O111" t="str">
        <v/>
      </c>
    </row>
    <row r="112">
      <c r="A112" t="str">
        <v/>
      </c>
      <c r="B112" t="str">
        <v>Drain Pump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/>
      </c>
      <c r="B113" t="str">
        <v xml:space="preserve"> (5.0m pump Lift) Model: BDU513A450VE</v>
      </c>
      <c r="C113" t="str">
        <v>pcs</v>
      </c>
      <c r="D113">
        <v>9</v>
      </c>
      <c r="E113">
        <v>30473.16</v>
      </c>
      <c r="F113">
        <v>274258.44</v>
      </c>
      <c r="G113">
        <v>0.0063623195409957985</v>
      </c>
      <c r="H113" t="str">
        <v/>
      </c>
      <c r="I113" t="str">
        <v>pcs</v>
      </c>
      <c r="J113" t="str">
        <v/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>
        <v>0</v>
      </c>
      <c r="K114" t="str">
        <v/>
      </c>
      <c r="L114">
        <f>H114*J114</f>
        <v>0</v>
      </c>
      <c r="M114">
        <f>K114+L114</f>
        <v>0</v>
      </c>
      <c r="N114">
        <f>M114/43106674.89</f>
        <v>0</v>
      </c>
      <c r="O114" t="str">
        <v/>
      </c>
    </row>
    <row r="115">
      <c r="A115" t="str">
        <v/>
      </c>
      <c r="B115" t="str">
        <v>Fittings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>
        <f>H115*J115</f>
        <v>0</v>
      </c>
      <c r="M115">
        <f>K115+L115</f>
        <v>0</v>
      </c>
      <c r="N115">
        <f>M115/43106674.89</f>
        <v>0</v>
      </c>
      <c r="O115" t="str">
        <v/>
      </c>
    </row>
    <row r="116">
      <c r="A116" t="str">
        <v/>
      </c>
      <c r="B116" t="str">
        <v>Wye Reducer 50 x 32</v>
      </c>
      <c r="C116" t="str">
        <v>pcs</v>
      </c>
      <c r="D116">
        <v>11</v>
      </c>
      <c r="E116">
        <v>192.45999999999995</v>
      </c>
      <c r="F116">
        <v>2117.0599999999995</v>
      </c>
      <c r="G116">
        <v>0.00004911211559236084</v>
      </c>
      <c r="H116" t="str">
        <v/>
      </c>
      <c r="I116" t="str">
        <v>pcs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Tee 32mm</v>
      </c>
      <c r="C117" t="str">
        <v>pcs</v>
      </c>
      <c r="D117">
        <v>2</v>
      </c>
      <c r="E117">
        <v>53.47</v>
      </c>
      <c r="F117">
        <v>106.94</v>
      </c>
      <c r="G117">
        <v>0.0000024808222919742803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Tee Reducer 50 x 32</v>
      </c>
      <c r="C118" t="str">
        <v>pcs</v>
      </c>
      <c r="D118">
        <v>2</v>
      </c>
      <c r="E118">
        <v>203.14999999999998</v>
      </c>
      <c r="F118">
        <v>406.29999999999995</v>
      </c>
      <c r="G118">
        <v>0.000009425454434534786</v>
      </c>
      <c r="H118" t="str">
        <v/>
      </c>
      <c r="I118" t="str">
        <v>pcs</v>
      </c>
      <c r="J118">
        <v>0</v>
      </c>
      <c r="K118">
        <v>0</v>
      </c>
      <c r="L118">
        <f>H118*J118</f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Elbow 32mm</v>
      </c>
      <c r="C119" t="str">
        <v>pcs</v>
      </c>
      <c r="D119">
        <v>6</v>
      </c>
      <c r="E119">
        <v>43.629999999999995</v>
      </c>
      <c r="F119">
        <v>261.78</v>
      </c>
      <c r="G119">
        <v>0.00000607284140259049</v>
      </c>
      <c r="H119" t="str">
        <v/>
      </c>
      <c r="I119" t="str">
        <v>pcs</v>
      </c>
      <c r="J119">
        <v>0</v>
      </c>
      <c r="K119">
        <v>0</v>
      </c>
      <c r="L119">
        <f>H119*J119</f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Cleanout 50mm</v>
      </c>
      <c r="C120" t="str">
        <v>pcs</v>
      </c>
      <c r="D120">
        <v>4</v>
      </c>
      <c r="E120">
        <v>213.84</v>
      </c>
      <c r="F120">
        <v>855.36</v>
      </c>
      <c r="G120">
        <v>0.00001984286661364429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/>
      </c>
      <c r="B122" t="str">
        <v>RELATED ELECTRICAL WORKS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>
        <f>H122*J122</f>
        <v>0</v>
      </c>
      <c r="M122">
        <f>K122+L122</f>
        <v>0</v>
      </c>
      <c r="N122">
        <f>M122/43106674.89</f>
        <v>0</v>
      </c>
      <c r="O122" t="str">
        <v/>
      </c>
    </row>
    <row r="123">
      <c r="A123" t="str">
        <v/>
      </c>
      <c r="B123" t="str">
        <v>Rough-ins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/>
      </c>
      <c r="B124" t="str">
        <v>liquid-tight metallic flexible conduits 1-1/2"</v>
      </c>
      <c r="C124" t="str">
        <v>m</v>
      </c>
      <c r="D124">
        <v>78</v>
      </c>
      <c r="E124">
        <v>404.15</v>
      </c>
      <c r="F124">
        <v>31523.699999999997</v>
      </c>
      <c r="G124">
        <v>0.0007312950971152947</v>
      </c>
      <c r="H124" t="str">
        <v/>
      </c>
      <c r="I124" t="str">
        <v>m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/>
      </c>
      <c r="B125" t="str">
        <v>Metallic Flexible Conduit 20mm</v>
      </c>
      <c r="C125" t="str">
        <v>m</v>
      </c>
      <c r="D125">
        <v>586</v>
      </c>
      <c r="E125">
        <v>65.87</v>
      </c>
      <c r="F125">
        <v>38599.82</v>
      </c>
      <c r="G125">
        <v>0.0008954487929885419</v>
      </c>
      <c r="H125" t="str">
        <v/>
      </c>
      <c r="I125" t="str">
        <v>m</v>
      </c>
      <c r="J125">
        <v>0</v>
      </c>
      <c r="K125">
        <v>0</v>
      </c>
      <c r="L125">
        <f>H125*J125</f>
        <v>0</v>
      </c>
      <c r="M125">
        <f>K125+L125</f>
        <v>0</v>
      </c>
      <c r="N125">
        <f>M125/43106674.89</f>
        <v>0</v>
      </c>
      <c r="O125" t="str">
        <v>Ongoing</v>
      </c>
    </row>
    <row r="126">
      <c r="A126" t="str">
        <v/>
      </c>
      <c r="B126" t="str">
        <v>Metallic Flexible Conduit Connector 20mm</v>
      </c>
      <c r="C126" t="str">
        <v>pcs</v>
      </c>
      <c r="D126">
        <v>29</v>
      </c>
      <c r="E126">
        <v>32.09</v>
      </c>
      <c r="F126">
        <v>930.6100000000001</v>
      </c>
      <c r="G126">
        <v>0.000021588535937293673</v>
      </c>
      <c r="H126" t="str">
        <v/>
      </c>
      <c r="I126" t="str">
        <v>pcs</v>
      </c>
      <c r="J126">
        <v>0</v>
      </c>
      <c r="K126">
        <v>0</v>
      </c>
      <c r="L126">
        <f>H126*J126</f>
        <v>0</v>
      </c>
      <c r="M126">
        <f>K126+L126</f>
        <v>0</v>
      </c>
      <c r="N126">
        <f>M126/43106674.89</f>
        <v>0</v>
      </c>
      <c r="O126" t="str">
        <v>Ongoing</v>
      </c>
    </row>
    <row r="127">
      <c r="A127" t="str">
        <v/>
      </c>
      <c r="B127" t="str">
        <v>Cables / Wires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>
        <f>H127*J127</f>
        <v>0</v>
      </c>
      <c r="M127">
        <f>K127+L127</f>
        <v>0</v>
      </c>
      <c r="N127">
        <f>M127/43106674.89</f>
        <v>0</v>
      </c>
      <c r="O127" t="str">
        <v/>
      </c>
    </row>
    <row r="128">
      <c r="A128" t="str">
        <v/>
      </c>
      <c r="B128" t="str">
        <v>Communication wire (PD Royal Cord 0.75mm/2C)</v>
      </c>
      <c r="C128" t="str">
        <v>m</v>
      </c>
      <c r="D128">
        <v>419</v>
      </c>
      <c r="E128">
        <v>80.84000000000002</v>
      </c>
      <c r="F128">
        <v>33871.96000000001</v>
      </c>
      <c r="G128">
        <v>0.0007857706512143367</v>
      </c>
      <c r="H128" t="str">
        <v/>
      </c>
      <c r="I128" t="str">
        <v>m</v>
      </c>
      <c r="J128">
        <v>0</v>
      </c>
      <c r="K128">
        <v>0</v>
      </c>
      <c r="L128">
        <f>H128*J128</f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Wire 3.5mm² THHN (5 meters per Unit)</v>
      </c>
      <c r="C129" t="str">
        <v>m</v>
      </c>
      <c r="D129">
        <v>71</v>
      </c>
      <c r="E129">
        <v>78.48000000000002</v>
      </c>
      <c r="F129">
        <v>5572.080000000002</v>
      </c>
      <c r="G129">
        <v>0.00012926257973315926</v>
      </c>
      <c r="H129" t="str">
        <v/>
      </c>
      <c r="I129" t="str">
        <v>m</v>
      </c>
      <c r="J129">
        <v>0</v>
      </c>
      <c r="K129">
        <v>0</v>
      </c>
      <c r="L129">
        <f>H129*J129</f>
        <v>0</v>
      </c>
      <c r="M129">
        <f>K129+L129</f>
        <v>0</v>
      </c>
      <c r="N129">
        <f>M129/43106674.89</f>
        <v>0</v>
      </c>
      <c r="O129" t="str">
        <v>Ongoing</v>
      </c>
    </row>
    <row r="130">
      <c r="A130" t="str">
        <v/>
      </c>
      <c r="B130" t="str">
        <v>Wire 5.5mm² THHN (5 meters per Unit)</v>
      </c>
      <c r="C130" t="str">
        <v>m</v>
      </c>
      <c r="D130">
        <v>26</v>
      </c>
      <c r="E130">
        <v>120.11</v>
      </c>
      <c r="F130">
        <v>3122.86</v>
      </c>
      <c r="G130">
        <v>0.00007244492895749768</v>
      </c>
      <c r="H130" t="str">
        <v/>
      </c>
      <c r="I130" t="str">
        <v>m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Wire 30.0mm² THHN (5 meters per Unit)</v>
      </c>
      <c r="C131" t="str">
        <v>m</v>
      </c>
      <c r="D131">
        <v>59</v>
      </c>
      <c r="E131">
        <v>790.33</v>
      </c>
      <c r="F131">
        <v>46629.47</v>
      </c>
      <c r="G131">
        <v>0.0010817227289970633</v>
      </c>
      <c r="H131" t="str">
        <v/>
      </c>
      <c r="I131" t="str">
        <v>m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>Ongoing</v>
      </c>
    </row>
    <row r="132">
      <c r="A132" t="str">
        <v/>
      </c>
      <c r="B132" t="str">
        <v>for ground: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/>
      </c>
      <c r="B133" t="str">
        <v>Wire 3.5mm² THHN (G) (5 meters per Unit)</v>
      </c>
      <c r="C133" t="str">
        <v>m</v>
      </c>
      <c r="D133">
        <v>72</v>
      </c>
      <c r="E133">
        <v>78.48000000000002</v>
      </c>
      <c r="F133">
        <v>5650.560000000001</v>
      </c>
      <c r="G133">
        <v>0.0001310831794477108</v>
      </c>
      <c r="H133" t="str">
        <v/>
      </c>
      <c r="I133" t="str">
        <v>m</v>
      </c>
      <c r="J133">
        <v>0</v>
      </c>
      <c r="K133">
        <v>0</v>
      </c>
      <c r="L133">
        <f>H133*J133</f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Wire 8.0mm² THHN (G) (5 meters per Unit)</v>
      </c>
      <c r="C134" t="str">
        <v>m</v>
      </c>
      <c r="D134">
        <v>20</v>
      </c>
      <c r="E134">
        <v>187.88</v>
      </c>
      <c r="F134">
        <v>3757.6</v>
      </c>
      <c r="G134">
        <v>0.00008716979469162666</v>
      </c>
      <c r="H134" t="str">
        <v/>
      </c>
      <c r="I134" t="str">
        <v>m</v>
      </c>
      <c r="J134">
        <v>0</v>
      </c>
      <c r="K134">
        <v>0</v>
      </c>
      <c r="L134">
        <f>H134*J134</f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>
        <f>H135*J135</f>
        <v>0</v>
      </c>
      <c r="M135">
        <f>K135+L135</f>
        <v>0</v>
      </c>
      <c r="N135">
        <f>M135/43106674.89</f>
        <v>0</v>
      </c>
      <c r="O135" t="str">
        <v/>
      </c>
    </row>
    <row r="136">
      <c r="A136" t="str">
        <v>I-B.</v>
      </c>
      <c r="B136" t="str">
        <v>CONSUMABLES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/>
      </c>
      <c r="B137" t="str">
        <v>Vibration Isolator</v>
      </c>
      <c r="C137" t="str">
        <v>pcs</v>
      </c>
      <c r="D137">
        <v>20</v>
      </c>
      <c r="E137">
        <v>1389.91</v>
      </c>
      <c r="F137">
        <v>27798.2</v>
      </c>
      <c r="G137">
        <v>0.0006448699666800023</v>
      </c>
      <c r="H137" t="str">
        <v/>
      </c>
      <c r="I137" t="str">
        <v>pcs</v>
      </c>
      <c r="J137">
        <v>0</v>
      </c>
      <c r="K137">
        <v>0</v>
      </c>
      <c r="L137">
        <f>H137*J137</f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>Angle Bar, 2x2x 1/4 (6 meters)</v>
      </c>
      <c r="C138" t="str">
        <v>length/s</v>
      </c>
      <c r="D138">
        <v>7</v>
      </c>
      <c r="E138">
        <v>2523.2200000000003</v>
      </c>
      <c r="F138">
        <v>17662.54</v>
      </c>
      <c r="G138">
        <v>0.00040974025589010106</v>
      </c>
      <c r="H138" t="str">
        <v/>
      </c>
      <c r="I138" t="str">
        <v>length/s</v>
      </c>
      <c r="J138">
        <v>0</v>
      </c>
      <c r="K138">
        <v>0</v>
      </c>
      <c r="L138">
        <f>H138*J138</f>
        <v>0</v>
      </c>
      <c r="M138">
        <f>K138+L138</f>
        <v>0</v>
      </c>
      <c r="N138">
        <f>M138/43106674.89</f>
        <v>0</v>
      </c>
      <c r="O138" t="str">
        <v>Ongoing</v>
      </c>
    </row>
    <row r="139">
      <c r="A139" t="str">
        <v/>
      </c>
      <c r="B139" t="str">
        <v>Rugby</v>
      </c>
      <c r="C139" t="str">
        <v>bottle</v>
      </c>
      <c r="D139">
        <v>21</v>
      </c>
      <c r="E139">
        <v>277.99000000000007</v>
      </c>
      <c r="F139">
        <v>5837.790000000002</v>
      </c>
      <c r="G139">
        <v>0.00013542659031105797</v>
      </c>
      <c r="H139" t="str">
        <v/>
      </c>
      <c r="I139" t="str">
        <v>bottle</v>
      </c>
      <c r="J139">
        <v>0</v>
      </c>
      <c r="K139">
        <v>0</v>
      </c>
      <c r="L139">
        <f>H139*J139</f>
        <v>0</v>
      </c>
      <c r="M139">
        <f>K139+L139</f>
        <v>0</v>
      </c>
      <c r="N139">
        <f>M139/43106674.89</f>
        <v>0</v>
      </c>
      <c r="O139" t="str">
        <v>Ongoing</v>
      </c>
    </row>
    <row r="140">
      <c r="A140" t="str">
        <v/>
      </c>
      <c r="B140" t="str">
        <v>White Tape</v>
      </c>
      <c r="C140" t="str">
        <v>rolls</v>
      </c>
      <c r="D140">
        <v>42</v>
      </c>
      <c r="E140">
        <v>374.21999999999997</v>
      </c>
      <c r="F140">
        <v>15717.239999999998</v>
      </c>
      <c r="G140">
        <v>0.0003646126740257138</v>
      </c>
      <c r="H140" t="str">
        <v/>
      </c>
      <c r="I140" t="str">
        <v>rolls</v>
      </c>
      <c r="J140">
        <v>0</v>
      </c>
      <c r="K140">
        <v>0</v>
      </c>
      <c r="L140">
        <f>H140*J140</f>
        <v>0</v>
      </c>
      <c r="M140">
        <f>K140+L140</f>
        <v>0</v>
      </c>
      <c r="N140">
        <f>M140/43106674.89</f>
        <v>0</v>
      </c>
      <c r="O140" t="str">
        <v>Ongoing</v>
      </c>
    </row>
    <row r="141">
      <c r="A141" t="str">
        <v/>
      </c>
      <c r="B141" t="str">
        <v>Threaded rod 3/8 (6 meters)</v>
      </c>
      <c r="C141" t="str">
        <v>length/s</v>
      </c>
      <c r="D141">
        <v>94</v>
      </c>
      <c r="E141">
        <v>171.07000000000002</v>
      </c>
      <c r="F141">
        <v>16080.580000000002</v>
      </c>
      <c r="G141">
        <v>0.0003730415310629865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Nuts and washer 3/8</v>
      </c>
      <c r="C142" t="str">
        <v>pcs</v>
      </c>
      <c r="D142">
        <v>32</v>
      </c>
      <c r="E142">
        <v>21.39</v>
      </c>
      <c r="F142">
        <v>684.48</v>
      </c>
      <c r="G142">
        <v>0.000015878747357495374</v>
      </c>
      <c r="H142" t="str">
        <v/>
      </c>
      <c r="I142" t="str">
        <v>pcs</v>
      </c>
      <c r="J142">
        <v>0</v>
      </c>
      <c r="K142">
        <v>0</v>
      </c>
      <c r="L142">
        <f>H142*J142</f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Grip Anchor 3/8</v>
      </c>
      <c r="C143" t="str">
        <v>pcs</v>
      </c>
      <c r="D143">
        <v>32</v>
      </c>
      <c r="E143">
        <v>10.699999999999998</v>
      </c>
      <c r="F143">
        <v>342.3999999999999</v>
      </c>
      <c r="G143">
        <v>0.000007943085400897639</v>
      </c>
      <c r="H143" t="str">
        <v/>
      </c>
      <c r="I143" t="str">
        <v>pcs</v>
      </c>
      <c r="J143">
        <v>0</v>
      </c>
      <c r="K143">
        <v>0</v>
      </c>
      <c r="L143">
        <f>H143*J143</f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Paint (Red Oxide)</v>
      </c>
      <c r="C144" t="str">
        <v>gallon</v>
      </c>
      <c r="D144">
        <v>1</v>
      </c>
      <c r="E144">
        <v>3432</v>
      </c>
      <c r="F144">
        <v>3432</v>
      </c>
      <c r="G144">
        <v>0.000079616440116474</v>
      </c>
      <c r="H144" t="str">
        <v/>
      </c>
      <c r="I144" t="str">
        <v>gallon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Loop Hangers</v>
      </c>
      <c r="C145" t="str">
        <v>pcs</v>
      </c>
      <c r="D145">
        <v>351</v>
      </c>
      <c r="E145">
        <v>42.78000000000001</v>
      </c>
      <c r="F145">
        <v>15015.780000000002</v>
      </c>
      <c r="G145">
        <v>0.00034834002015505486</v>
      </c>
      <c r="H145" t="str">
        <v/>
      </c>
      <c r="I145" t="str">
        <v>pcs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Freon</v>
      </c>
      <c r="C146" t="str">
        <v>tank</v>
      </c>
      <c r="D146">
        <v>6</v>
      </c>
      <c r="E146">
        <v>14497.769999999999</v>
      </c>
      <c r="F146">
        <v>86986.62</v>
      </c>
      <c r="G146">
        <v>0.0020179385262717015</v>
      </c>
      <c r="H146" t="str">
        <v/>
      </c>
      <c r="I146" t="str">
        <v>tank</v>
      </c>
      <c r="J146">
        <v>0</v>
      </c>
      <c r="K146">
        <v>0</v>
      </c>
      <c r="L146">
        <f>H146*J146</f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Nitrogen</v>
      </c>
      <c r="C147" t="str">
        <v>tank</v>
      </c>
      <c r="D147">
        <v>3</v>
      </c>
      <c r="E147">
        <v>18175.66</v>
      </c>
      <c r="F147">
        <v>54526.979999999996</v>
      </c>
      <c r="G147">
        <v>0.001264931246474993</v>
      </c>
      <c r="H147" t="str">
        <v/>
      </c>
      <c r="I147" t="str">
        <v>tank</v>
      </c>
      <c r="J147">
        <v>0</v>
      </c>
      <c r="K147">
        <v>0</v>
      </c>
      <c r="L147">
        <f>H147*J147</f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>Mapp Gas</v>
      </c>
      <c r="C148" t="str">
        <v>tank</v>
      </c>
      <c r="D148">
        <v>11</v>
      </c>
      <c r="E148">
        <v>855.3299999999999</v>
      </c>
      <c r="F148">
        <v>9408.63</v>
      </c>
      <c r="G148">
        <v>0.0002182638773231529</v>
      </c>
      <c r="H148" t="str">
        <v/>
      </c>
      <c r="I148" t="str">
        <v>tank</v>
      </c>
      <c r="J148">
        <v>0</v>
      </c>
      <c r="K148">
        <v>0</v>
      </c>
      <c r="L148">
        <f>H148*J148</f>
        <v>0</v>
      </c>
      <c r="M148">
        <f>K148+L148</f>
        <v>0</v>
      </c>
      <c r="N148">
        <f>M148/43106674.89</f>
        <v>0</v>
      </c>
      <c r="O148" t="str">
        <v>Ongoing</v>
      </c>
    </row>
    <row r="149">
      <c r="A149" t="str">
        <v/>
      </c>
      <c r="B149" t="str">
        <v>Silver Rod</v>
      </c>
      <c r="C149" t="str">
        <v>pcs</v>
      </c>
      <c r="D149">
        <v>141</v>
      </c>
      <c r="E149">
        <v>53.470000000000006</v>
      </c>
      <c r="F149">
        <v>7539.27</v>
      </c>
      <c r="G149">
        <v>0.00017489797158418678</v>
      </c>
      <c r="H149" t="str">
        <v/>
      </c>
      <c r="I149" t="str">
        <v>pcs</v>
      </c>
      <c r="J149">
        <v>0</v>
      </c>
      <c r="K149">
        <v>0</v>
      </c>
      <c r="L149">
        <f>H149*J149</f>
        <v>0</v>
      </c>
      <c r="M149">
        <f>K149+L149</f>
        <v>0</v>
      </c>
      <c r="N149">
        <f>M149/43106674.89</f>
        <v>0</v>
      </c>
      <c r="O149" t="str">
        <v>Ongoing</v>
      </c>
    </row>
    <row r="150">
      <c r="A150" t="str">
        <v/>
      </c>
      <c r="B150" t="str">
        <v>Paint Brush</v>
      </c>
      <c r="C150" t="str">
        <v>pcs</v>
      </c>
      <c r="D150">
        <v>1</v>
      </c>
      <c r="E150">
        <v>213.84</v>
      </c>
      <c r="F150">
        <v>213.84</v>
      </c>
      <c r="G150">
        <v>0.000004960716653411073</v>
      </c>
      <c r="H150" t="str">
        <v/>
      </c>
      <c r="I150" t="str">
        <v>pcs</v>
      </c>
      <c r="J150">
        <v>0</v>
      </c>
      <c r="K150">
        <v>0</v>
      </c>
      <c r="L150">
        <f>H150*J150</f>
        <v>0</v>
      </c>
      <c r="M150">
        <f>K150+L150</f>
        <v>0</v>
      </c>
      <c r="N150">
        <f>M150/43106674.89</f>
        <v>0</v>
      </c>
      <c r="O150" t="str">
        <v>Ongoing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>
        <f>H151*J151</f>
        <v>0</v>
      </c>
      <c r="M151">
        <f>K151+L151</f>
        <v>0</v>
      </c>
      <c r="N151">
        <f>M151/43106674.89</f>
        <v>0</v>
      </c>
      <c r="O151" t="str">
        <v/>
      </c>
    </row>
    <row r="152">
      <c r="A152" t="str">
        <v>I-C.</v>
      </c>
      <c r="B152" t="str">
        <v>CHIPPING &amp; RESTORATION (ROUGH-ONLY)</v>
      </c>
      <c r="C152" t="str">
        <v>lot</v>
      </c>
      <c r="D152">
        <v>1</v>
      </c>
      <c r="E152">
        <v>737348.8400000002</v>
      </c>
      <c r="F152">
        <v>737348.8400000002</v>
      </c>
      <c r="G152">
        <v>0.017105212635434613</v>
      </c>
      <c r="H152">
        <v>1</v>
      </c>
      <c r="I152" t="str">
        <v>lot</v>
      </c>
      <c r="J152" t="str">
        <v/>
      </c>
      <c r="K152">
        <v>0</v>
      </c>
      <c r="L152">
        <f>H152*J152</f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>
        <f>H153*J153</f>
        <v>0</v>
      </c>
      <c r="M153">
        <f>K153+L153</f>
        <v>0</v>
      </c>
      <c r="N153">
        <f>M153/43106674.89</f>
        <v>0</v>
      </c>
      <c r="O153" t="str">
        <v/>
      </c>
    </row>
    <row r="154">
      <c r="A154" t="str">
        <v>I-D.</v>
      </c>
      <c r="B154" t="str">
        <v>MISCELLANEOUS</v>
      </c>
      <c r="C154" t="str">
        <v>lot</v>
      </c>
      <c r="D154">
        <v>1</v>
      </c>
      <c r="E154">
        <v>5684.06</v>
      </c>
      <c r="F154">
        <v>5684.06</v>
      </c>
      <c r="G154">
        <v>0.000131860321272857</v>
      </c>
      <c r="H154">
        <v>1</v>
      </c>
      <c r="I154" t="str">
        <v>lot</v>
      </c>
      <c r="J154" t="str">
        <v/>
      </c>
      <c r="K154">
        <v>0</v>
      </c>
      <c r="L154">
        <f>H154*J154</f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>
        <f>H155*J155</f>
        <v>0</v>
      </c>
      <c r="M155">
        <f>K155+L155</f>
        <v>0</v>
      </c>
      <c r="N155">
        <f>M155/43106674.89</f>
        <v>0</v>
      </c>
      <c r="O155" t="str">
        <v/>
      </c>
    </row>
    <row r="156">
      <c r="A156" t="str">
        <v>I-E.</v>
      </c>
      <c r="B156" t="str">
        <v>TESTING &amp; COMMISSIONING</v>
      </c>
      <c r="C156" t="str">
        <v>lot</v>
      </c>
      <c r="D156">
        <v>1</v>
      </c>
      <c r="E156">
        <v>41291.54</v>
      </c>
      <c r="F156">
        <v>41291.54</v>
      </c>
      <c r="G156">
        <v>0.0009578920226477247</v>
      </c>
      <c r="H156">
        <v>1</v>
      </c>
      <c r="I156" t="str">
        <v>lot</v>
      </c>
      <c r="J156" t="str">
        <v/>
      </c>
      <c r="K156">
        <v>0</v>
      </c>
      <c r="L156">
        <f>H156*J156</f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>
        <f>H157*J157</f>
        <v>0</v>
      </c>
      <c r="M157">
        <f>K157+L157</f>
        <v>0</v>
      </c>
      <c r="N157">
        <f>M157/43106674.89</f>
        <v>0</v>
      </c>
      <c r="O157" t="str">
        <v/>
      </c>
    </row>
    <row r="158">
      <c r="A158" t="str">
        <v>II.A</v>
      </c>
      <c r="B158" t="str">
        <v>AIR CONDITIONING- VRV SYSTEM B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>
        <f>H158*J158</f>
        <v>0</v>
      </c>
      <c r="M158">
        <f>K158+L158</f>
        <v>0</v>
      </c>
      <c r="N158">
        <f>M158/43106674.89</f>
        <v>0</v>
      </c>
      <c r="O158" t="str">
        <v/>
      </c>
    </row>
    <row r="159">
      <c r="A159" t="str">
        <v/>
      </c>
      <c r="B159" t="str">
        <v>ACCU-  Model: RXQ18BYM</v>
      </c>
      <c r="C159" t="str">
        <v>units</v>
      </c>
      <c r="D159">
        <v>3</v>
      </c>
      <c r="E159">
        <v>741057.71</v>
      </c>
      <c r="F159">
        <v>2223173.13</v>
      </c>
      <c r="G159">
        <v>0.05157375593624682</v>
      </c>
      <c r="H159" t="str">
        <v/>
      </c>
      <c r="I159" t="str">
        <v>units</v>
      </c>
      <c r="J159">
        <v>0</v>
      </c>
      <c r="K159">
        <v>0</v>
      </c>
      <c r="L159">
        <f>H159*J159</f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FCU- 2 HP Wall Mounted VRF B (OR No. 1 and 3,  OR No. 1 Miyake Eye (2), OR No. 2 NSS(2), OR No. 3 Euro-open (2), OR No. 8 Ortho, NSS/ Pay, Storage Room, OR Complex Conference Room) Model: FXAQ50BVM</v>
      </c>
      <c r="C160" t="str">
        <v>units</v>
      </c>
      <c r="D160">
        <v>10</v>
      </c>
      <c r="E160">
        <v>55087.340000000004</v>
      </c>
      <c r="F160">
        <v>550873.4</v>
      </c>
      <c r="G160">
        <v>0.01277930625374663</v>
      </c>
      <c r="H160" t="str">
        <v/>
      </c>
      <c r="I160" t="str">
        <v>units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FCU- 2.5HP Wall Mounted VRF B ( OR no. 4, 6, 13, 14, 15, OR Pharmacy) Model: FXAQ63BVM</v>
      </c>
      <c r="C161" t="str">
        <v>units</v>
      </c>
      <c r="D161">
        <v>2</v>
      </c>
      <c r="E161">
        <v>56222.86</v>
      </c>
      <c r="F161">
        <v>112445.72</v>
      </c>
      <c r="G161">
        <v>0.0026085454349457473</v>
      </c>
      <c r="H161" t="str">
        <v/>
      </c>
      <c r="I161" t="str">
        <v>units</v>
      </c>
      <c r="J161">
        <v>0</v>
      </c>
      <c r="K161">
        <v>0</v>
      </c>
      <c r="L161">
        <f>H161*J161</f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FCU- 6HP ceiling Cassette VRF B (Corridor near OR No. 2 NSS, Corridor Near Supply Room) Model: FXFQ140AVM</v>
      </c>
      <c r="C162" t="str">
        <v>units</v>
      </c>
      <c r="D162">
        <v>1</v>
      </c>
      <c r="E162">
        <v>87530.69</v>
      </c>
      <c r="F162">
        <v>87530.69</v>
      </c>
      <c r="G162">
        <v>0.0020305600054599795</v>
      </c>
      <c r="H162" t="str">
        <v/>
      </c>
      <c r="I162" t="str">
        <v>units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>
        <f>H163*J163</f>
        <v>0</v>
      </c>
      <c r="M163">
        <f>K163+L163</f>
        <v>0</v>
      </c>
      <c r="N163">
        <f>M163/43106674.89</f>
        <v>0</v>
      </c>
      <c r="O163" t="str">
        <v/>
      </c>
    </row>
    <row r="164">
      <c r="A164" t="str">
        <v/>
      </c>
      <c r="B164" t="str">
        <v>Accessories: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Wired Remote Controller Model: BRC1E63</v>
      </c>
      <c r="C165" t="str">
        <v>units</v>
      </c>
      <c r="D165">
        <v>13</v>
      </c>
      <c r="E165">
        <v>11760.720000000001</v>
      </c>
      <c r="F165">
        <v>152889.36000000002</v>
      </c>
      <c r="G165">
        <v>0.003546767650025069</v>
      </c>
      <c r="H165" t="str">
        <v/>
      </c>
      <c r="I165" t="str">
        <v>units</v>
      </c>
      <c r="J165" t="str">
        <v/>
      </c>
      <c r="K165">
        <v>0</v>
      </c>
      <c r="L165">
        <f>H165*J165</f>
        <v>0</v>
      </c>
      <c r="M165">
        <f>K165+L165</f>
        <v>0</v>
      </c>
      <c r="N165">
        <f>M165/43106674.89</f>
        <v>0</v>
      </c>
      <c r="O165" t="str">
        <v>Ongoing</v>
      </c>
    </row>
    <row r="166">
      <c r="A166" t="str">
        <v/>
      </c>
      <c r="B166" t="str">
        <v>Standard panel(Fresh white) Model: BYCQ125EAF</v>
      </c>
      <c r="C166" t="str">
        <v>units</v>
      </c>
      <c r="D166">
        <v>1</v>
      </c>
      <c r="E166">
        <v>22345.370000000003</v>
      </c>
      <c r="F166">
        <v>22345.370000000003</v>
      </c>
      <c r="G166">
        <v>0.0005183737798617293</v>
      </c>
      <c r="H166" t="str">
        <v/>
      </c>
      <c r="I166" t="str">
        <v>units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Refnet Joints Model: KHRP26A22T</v>
      </c>
      <c r="C167" t="str">
        <v>units</v>
      </c>
      <c r="D167">
        <v>6</v>
      </c>
      <c r="E167">
        <v>4351.47</v>
      </c>
      <c r="F167">
        <v>26108.82</v>
      </c>
      <c r="G167">
        <v>0.0006056792843944635</v>
      </c>
      <c r="H167" t="str">
        <v/>
      </c>
      <c r="I167" t="str">
        <v>units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>Ongoing</v>
      </c>
    </row>
    <row r="168">
      <c r="A168" t="str">
        <v/>
      </c>
      <c r="B168" t="str">
        <v>Refnet Joints Model: KHRP26A33T</v>
      </c>
      <c r="C168" t="str">
        <v>units</v>
      </c>
      <c r="D168">
        <v>1</v>
      </c>
      <c r="E168">
        <v>4939.510000000001</v>
      </c>
      <c r="F168">
        <v>4939.510000000001</v>
      </c>
      <c r="G168">
        <v>0.00011458805423068899</v>
      </c>
      <c r="H168" t="str">
        <v/>
      </c>
      <c r="I168" t="str">
        <v>units</v>
      </c>
      <c r="J168">
        <v>0</v>
      </c>
      <c r="K168">
        <v>0</v>
      </c>
      <c r="L168">
        <f>H168*J168</f>
        <v>0</v>
      </c>
      <c r="M168">
        <f>K168+L168</f>
        <v>0</v>
      </c>
      <c r="N168">
        <f>M168/43106674.89</f>
        <v>0</v>
      </c>
      <c r="O168" t="str">
        <v>Ongoing</v>
      </c>
    </row>
    <row r="169">
      <c r="A169" t="str">
        <v/>
      </c>
      <c r="B169" t="str">
        <v>Refnet Joints Model: KHRP26A72T</v>
      </c>
      <c r="C169" t="str">
        <v>units</v>
      </c>
      <c r="D169">
        <v>3</v>
      </c>
      <c r="E169">
        <v>8232.51</v>
      </c>
      <c r="F169">
        <v>24697.53</v>
      </c>
      <c r="G169">
        <v>0.0005729398071881761</v>
      </c>
      <c r="H169" t="str">
        <v/>
      </c>
      <c r="I169" t="str">
        <v>units</v>
      </c>
      <c r="J169">
        <v>0</v>
      </c>
      <c r="K169">
        <v>0</v>
      </c>
      <c r="L169">
        <f>H169*J169</f>
        <v>0</v>
      </c>
      <c r="M169">
        <f>K169+L169</f>
        <v>0</v>
      </c>
      <c r="N169">
        <f>M169/43106674.89</f>
        <v>0</v>
      </c>
      <c r="O169" t="str">
        <v>Ongoing</v>
      </c>
    </row>
    <row r="170">
      <c r="A170" t="str">
        <v/>
      </c>
      <c r="B170" t="str">
        <v xml:space="preserve">Refnet Joints Model: KHRP26A73T </v>
      </c>
      <c r="C170" t="str">
        <v>units</v>
      </c>
      <c r="D170">
        <v>2</v>
      </c>
      <c r="E170">
        <v>14112.869999999999</v>
      </c>
      <c r="F170">
        <v>28225.739999999998</v>
      </c>
      <c r="G170">
        <v>0.0006547881522299432</v>
      </c>
      <c r="H170" t="str">
        <v/>
      </c>
      <c r="I170" t="str">
        <v>units</v>
      </c>
      <c r="J170">
        <v>0</v>
      </c>
      <c r="K170">
        <v>0</v>
      </c>
      <c r="L170">
        <f>H170*J170</f>
        <v>0</v>
      </c>
      <c r="M170">
        <f>K170+L170</f>
        <v>0</v>
      </c>
      <c r="N170">
        <f>M170/43106674.89</f>
        <v>0</v>
      </c>
      <c r="O170" t="str">
        <v>Ongoing</v>
      </c>
    </row>
    <row r="171">
      <c r="A171" t="str">
        <v/>
      </c>
      <c r="B171" t="str">
        <v>Pipe Size Reducer Model: KHRP26M73TP</v>
      </c>
      <c r="C171" t="str">
        <v>units</v>
      </c>
      <c r="D171">
        <v>2</v>
      </c>
      <c r="E171">
        <v>5997.97</v>
      </c>
      <c r="F171">
        <v>11995.94</v>
      </c>
      <c r="G171">
        <v>0.0002782849762968576</v>
      </c>
      <c r="H171" t="str">
        <v/>
      </c>
      <c r="I171" t="str">
        <v>units</v>
      </c>
      <c r="J171">
        <v>0</v>
      </c>
      <c r="K171">
        <v>0</v>
      </c>
      <c r="L171">
        <f>H171*J171</f>
        <v>0</v>
      </c>
      <c r="M171">
        <f>K171+L171</f>
        <v>0</v>
      </c>
      <c r="N171">
        <f>M171/43106674.89</f>
        <v>0</v>
      </c>
      <c r="O171" t="str">
        <v>Ongoing</v>
      </c>
    </row>
    <row r="172">
      <c r="A172" t="str">
        <v/>
      </c>
      <c r="B172" t="str">
        <v>VRV Multi Con piping kit Model: BHFP22R168-7</v>
      </c>
      <c r="C172" t="str">
        <v>units</v>
      </c>
      <c r="D172">
        <v>1</v>
      </c>
      <c r="E172">
        <v>39751.22</v>
      </c>
      <c r="F172">
        <v>39751.22</v>
      </c>
      <c r="G172">
        <v>0.0009221592735101353</v>
      </c>
      <c r="H172" t="str">
        <v/>
      </c>
      <c r="I172" t="str">
        <v>units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>Ongoing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/>
      </c>
      <c r="B174" t="str">
        <v xml:space="preserve">Copper Pipes - Type L Hard Drawn Pipes 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>
        <f>H174*J174</f>
        <v>0</v>
      </c>
      <c r="M174">
        <f>K174+L174</f>
        <v>0</v>
      </c>
      <c r="N174">
        <f>M174/43106674.89</f>
        <v>0</v>
      </c>
      <c r="O174" t="str">
        <v/>
      </c>
    </row>
    <row r="175">
      <c r="A175" t="str">
        <v/>
      </c>
      <c r="B175" t="str">
        <v>1/4"</v>
      </c>
      <c r="C175" t="str">
        <v>length/s</v>
      </c>
      <c r="D175">
        <v>14</v>
      </c>
      <c r="E175">
        <v>2120.3300000000004</v>
      </c>
      <c r="F175">
        <v>29684.620000000006</v>
      </c>
      <c r="G175">
        <v>0.0006886316347932072</v>
      </c>
      <c r="H175" t="str">
        <v/>
      </c>
      <c r="I175" t="str">
        <v>length/s</v>
      </c>
      <c r="J175">
        <v>0</v>
      </c>
      <c r="K175">
        <v>0</v>
      </c>
      <c r="L175">
        <f>H175*J175</f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3/8"</v>
      </c>
      <c r="C176" t="str">
        <v>length/s</v>
      </c>
      <c r="D176">
        <v>11</v>
      </c>
      <c r="E176">
        <v>2952.3500000000004</v>
      </c>
      <c r="F176">
        <v>32475.850000000006</v>
      </c>
      <c r="G176">
        <v>0.000753383323647026</v>
      </c>
      <c r="H176" t="str">
        <v/>
      </c>
      <c r="I176" t="str">
        <v>length/s</v>
      </c>
      <c r="J176">
        <v>0</v>
      </c>
      <c r="K176">
        <v>0</v>
      </c>
      <c r="L176">
        <f>H176*J176</f>
        <v>0</v>
      </c>
      <c r="M176">
        <f>K176+L176</f>
        <v>0</v>
      </c>
      <c r="N176">
        <f>M176/43106674.89</f>
        <v>0</v>
      </c>
      <c r="O176" t="str">
        <v>Ongoing</v>
      </c>
    </row>
    <row r="177">
      <c r="A177" t="str">
        <v/>
      </c>
      <c r="B177" t="str">
        <v>1/2"</v>
      </c>
      <c r="C177" t="str">
        <v>length/s</v>
      </c>
      <c r="D177">
        <v>15</v>
      </c>
      <c r="E177">
        <v>4696.92</v>
      </c>
      <c r="F177">
        <v>70453.8</v>
      </c>
      <c r="G177">
        <v>0.0016344058125518754</v>
      </c>
      <c r="H177" t="str">
        <v/>
      </c>
      <c r="I177" t="str">
        <v>length/s</v>
      </c>
      <c r="J177">
        <v>0</v>
      </c>
      <c r="K177">
        <v>0</v>
      </c>
      <c r="L177">
        <f>H177*J177</f>
        <v>0</v>
      </c>
      <c r="M177">
        <f>K177+L177</f>
        <v>0</v>
      </c>
      <c r="N177">
        <f>M177/43106674.89</f>
        <v>0</v>
      </c>
      <c r="O177" t="str">
        <v>Ongoing</v>
      </c>
    </row>
    <row r="178">
      <c r="A178" t="str">
        <v/>
      </c>
      <c r="B178" t="str">
        <v>5/8"</v>
      </c>
      <c r="C178" t="str">
        <v>length/s</v>
      </c>
      <c r="D178">
        <v>12</v>
      </c>
      <c r="E178">
        <v>6775.95</v>
      </c>
      <c r="F178">
        <v>81311.4</v>
      </c>
      <c r="G178">
        <v>0.0018862832776476294</v>
      </c>
      <c r="H178" t="str">
        <v/>
      </c>
      <c r="I178" t="str">
        <v>length/s</v>
      </c>
      <c r="J178">
        <v>0</v>
      </c>
      <c r="K178">
        <v>0</v>
      </c>
      <c r="L178">
        <f>H178*J178</f>
        <v>0</v>
      </c>
      <c r="M178">
        <f>K178+L178</f>
        <v>0</v>
      </c>
      <c r="N178">
        <f>M178/43106674.89</f>
        <v>0</v>
      </c>
      <c r="O178" t="str">
        <v>Ongoing</v>
      </c>
    </row>
    <row r="179">
      <c r="A179" t="str">
        <v/>
      </c>
      <c r="B179" t="str">
        <v>3/4"</v>
      </c>
      <c r="C179" t="str">
        <v>length/s</v>
      </c>
      <c r="D179">
        <v>13</v>
      </c>
      <c r="E179">
        <v>8642.33</v>
      </c>
      <c r="F179">
        <v>112350.29</v>
      </c>
      <c r="G179">
        <v>0.002606331624665935</v>
      </c>
      <c r="H179" t="str">
        <v/>
      </c>
      <c r="I179" t="str">
        <v>length/s</v>
      </c>
      <c r="J179">
        <v>0</v>
      </c>
      <c r="K179">
        <v>0</v>
      </c>
      <c r="L179">
        <f>H179*J179</f>
        <v>0</v>
      </c>
      <c r="M179">
        <f>K179+L179</f>
        <v>0</v>
      </c>
      <c r="N179">
        <f>M179/43106674.89</f>
        <v>0</v>
      </c>
      <c r="O179" t="str">
        <v>Ongoing</v>
      </c>
    </row>
    <row r="180">
      <c r="A180" t="str">
        <v/>
      </c>
      <c r="B180" t="str">
        <v>7/8"</v>
      </c>
      <c r="C180" t="str">
        <v>length/s</v>
      </c>
      <c r="D180">
        <v>1</v>
      </c>
      <c r="E180">
        <v>10870.01</v>
      </c>
      <c r="F180">
        <v>10870.01</v>
      </c>
      <c r="G180">
        <v>0.0002521653555450098</v>
      </c>
      <c r="H180" t="str">
        <v/>
      </c>
      <c r="I180" t="str">
        <v>length/s</v>
      </c>
      <c r="J180">
        <v>0</v>
      </c>
      <c r="K180">
        <v>0</v>
      </c>
      <c r="L180">
        <f>H180*J180</f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1-1/8"</v>
      </c>
      <c r="C181" t="str">
        <v>length/s</v>
      </c>
      <c r="D181">
        <v>5</v>
      </c>
      <c r="E181">
        <v>15566.920000000002</v>
      </c>
      <c r="F181">
        <v>77834.6</v>
      </c>
      <c r="G181">
        <v>0.0018056275553291693</v>
      </c>
      <c r="H181" t="str">
        <v/>
      </c>
      <c r="I181" t="str">
        <v>length/s</v>
      </c>
      <c r="J181">
        <v>0</v>
      </c>
      <c r="K181">
        <v>0</v>
      </c>
      <c r="L181">
        <f>H181*J181</f>
        <v>0</v>
      </c>
      <c r="M181">
        <f>K181+L181</f>
        <v>0</v>
      </c>
      <c r="N181">
        <f>M181/43106674.89</f>
        <v>0</v>
      </c>
      <c r="O181" t="str">
        <v>Ongoing</v>
      </c>
    </row>
    <row r="182">
      <c r="A182" t="str">
        <v/>
      </c>
      <c r="B182" t="str">
        <v>1-3/8"</v>
      </c>
      <c r="C182" t="str">
        <v>length/s</v>
      </c>
      <c r="D182">
        <v>1</v>
      </c>
      <c r="E182">
        <v>27039.769999999997</v>
      </c>
      <c r="F182">
        <v>27039.769999999997</v>
      </c>
      <c r="G182">
        <v>0.0006272757077413258</v>
      </c>
      <c r="H182" t="str">
        <v/>
      </c>
      <c r="I182" t="str">
        <v>length/s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1-5/8"</v>
      </c>
      <c r="C183" t="str">
        <v>length/s</v>
      </c>
      <c r="D183">
        <v>12</v>
      </c>
      <c r="E183">
        <v>27039.77</v>
      </c>
      <c r="F183">
        <v>324477.24</v>
      </c>
      <c r="G183">
        <v>0.00752730849289591</v>
      </c>
      <c r="H183" t="str">
        <v/>
      </c>
      <c r="I183" t="str">
        <v>length/s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>Ongoing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>
        <f>H184*J184</f>
        <v>0</v>
      </c>
      <c r="M184">
        <f>K184+L184</f>
        <v>0</v>
      </c>
      <c r="N184">
        <f>M184/43106674.89</f>
        <v>0</v>
      </c>
      <c r="O184" t="str">
        <v/>
      </c>
    </row>
    <row r="185">
      <c r="A185" t="str">
        <v/>
      </c>
      <c r="B185" t="str">
        <v xml:space="preserve">Copper Pipes Insulation 25mm Thick 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>
        <f>H185*J185</f>
        <v>0</v>
      </c>
      <c r="M185">
        <f>K185+L185</f>
        <v>0</v>
      </c>
      <c r="N185">
        <f>M185/43106674.89</f>
        <v>0</v>
      </c>
      <c r="O185" t="str">
        <v/>
      </c>
    </row>
    <row r="186">
      <c r="A186" t="str">
        <v/>
      </c>
      <c r="B186" t="str">
        <v>1/4"</v>
      </c>
      <c r="C186" t="str">
        <v>length/s</v>
      </c>
      <c r="D186">
        <v>27</v>
      </c>
      <c r="E186">
        <v>433.57</v>
      </c>
      <c r="F186">
        <v>11706.39</v>
      </c>
      <c r="G186">
        <v>0.000271567919118616</v>
      </c>
      <c r="H186" t="str">
        <v/>
      </c>
      <c r="I186" t="str">
        <v>length/s</v>
      </c>
      <c r="J186">
        <v>0</v>
      </c>
      <c r="K186">
        <v>0</v>
      </c>
      <c r="L186">
        <f>H186*J186</f>
        <v>0</v>
      </c>
      <c r="M186">
        <f>K186+L186</f>
        <v>0</v>
      </c>
      <c r="N186">
        <f>M186/43106674.89</f>
        <v>0</v>
      </c>
      <c r="O186" t="str">
        <v>Ongoing</v>
      </c>
    </row>
    <row r="187">
      <c r="A187" t="str">
        <v/>
      </c>
      <c r="B187" t="str">
        <v>3/8"</v>
      </c>
      <c r="C187" t="str">
        <v>length/s</v>
      </c>
      <c r="D187">
        <v>21</v>
      </c>
      <c r="E187">
        <v>441.8299999999999</v>
      </c>
      <c r="F187">
        <v>9278.429999999998</v>
      </c>
      <c r="G187">
        <v>0.0002152434634236293</v>
      </c>
      <c r="H187" t="str">
        <v/>
      </c>
      <c r="I187" t="str">
        <v>length/s</v>
      </c>
      <c r="J187">
        <v>0</v>
      </c>
      <c r="K187">
        <v>0</v>
      </c>
      <c r="L187">
        <f>H187*J187</f>
        <v>0</v>
      </c>
      <c r="M187">
        <f>K187+L187</f>
        <v>0</v>
      </c>
      <c r="N187">
        <f>M187/43106674.89</f>
        <v>0</v>
      </c>
      <c r="O187" t="str">
        <v>Ongoing</v>
      </c>
    </row>
    <row r="188">
      <c r="A188" t="str">
        <v/>
      </c>
      <c r="B188" t="str">
        <v>1/2"</v>
      </c>
      <c r="C188" t="str">
        <v>length/s</v>
      </c>
      <c r="D188">
        <v>30</v>
      </c>
      <c r="E188">
        <v>516.15</v>
      </c>
      <c r="F188">
        <v>15484.5</v>
      </c>
      <c r="G188">
        <v>0.0003592135101933397</v>
      </c>
      <c r="H188" t="str">
        <v/>
      </c>
      <c r="I188" t="str">
        <v>length/s</v>
      </c>
      <c r="J188">
        <v>0</v>
      </c>
      <c r="K188">
        <v>0</v>
      </c>
      <c r="L188">
        <f>H188*J188</f>
        <v>0</v>
      </c>
      <c r="M188">
        <f>K188+L188</f>
        <v>0</v>
      </c>
      <c r="N188">
        <f>M188/43106674.89</f>
        <v>0</v>
      </c>
      <c r="O188" t="str">
        <v>Ongoing</v>
      </c>
    </row>
    <row r="189">
      <c r="A189" t="str">
        <v/>
      </c>
      <c r="B189" t="str">
        <v>5/8"</v>
      </c>
      <c r="C189" t="str">
        <v>length/s</v>
      </c>
      <c r="D189">
        <v>24</v>
      </c>
      <c r="E189">
        <v>629.71</v>
      </c>
      <c r="F189">
        <v>15113.04</v>
      </c>
      <c r="G189">
        <v>0.000350596283256957</v>
      </c>
      <c r="H189" t="str">
        <v/>
      </c>
      <c r="I189" t="str">
        <v>length/s</v>
      </c>
      <c r="J189">
        <v>0</v>
      </c>
      <c r="K189">
        <v>0</v>
      </c>
      <c r="L189">
        <f>H189*J189</f>
        <v>0</v>
      </c>
      <c r="M189">
        <f>K189+L189</f>
        <v>0</v>
      </c>
      <c r="N189">
        <f>M189/43106674.89</f>
        <v>0</v>
      </c>
      <c r="O189" t="str">
        <v>Ongoing</v>
      </c>
    </row>
    <row r="190">
      <c r="A190" t="str">
        <v/>
      </c>
      <c r="B190" t="str">
        <v>3/4"</v>
      </c>
      <c r="C190" t="str">
        <v>length/s</v>
      </c>
      <c r="D190">
        <v>26</v>
      </c>
      <c r="E190">
        <v>708.16</v>
      </c>
      <c r="F190">
        <v>18412.16</v>
      </c>
      <c r="G190">
        <v>0.00042713013812789563</v>
      </c>
      <c r="H190" t="str">
        <v/>
      </c>
      <c r="I190" t="str">
        <v>length/s</v>
      </c>
      <c r="J190">
        <v>0</v>
      </c>
      <c r="K190">
        <v>0</v>
      </c>
      <c r="L190">
        <f>H190*J190</f>
        <v>0</v>
      </c>
      <c r="M190">
        <f>K190+L190</f>
        <v>0</v>
      </c>
      <c r="N190">
        <f>M190/43106674.89</f>
        <v>0</v>
      </c>
      <c r="O190" t="str">
        <v>Ongoing</v>
      </c>
    </row>
    <row r="191">
      <c r="A191" t="str">
        <v/>
      </c>
      <c r="B191" t="str">
        <v>7/8"</v>
      </c>
      <c r="C191" t="str">
        <v>length/s</v>
      </c>
      <c r="D191">
        <v>2</v>
      </c>
      <c r="E191">
        <v>784.55</v>
      </c>
      <c r="F191">
        <v>1569.1</v>
      </c>
      <c r="G191">
        <v>0.00003640039515931217</v>
      </c>
      <c r="H191" t="str">
        <v/>
      </c>
      <c r="I191" t="str">
        <v>length/s</v>
      </c>
      <c r="J191">
        <v>0</v>
      </c>
      <c r="K191">
        <v>0</v>
      </c>
      <c r="L191">
        <f>H191*J191</f>
        <v>0</v>
      </c>
      <c r="M191">
        <f>K191+L191</f>
        <v>0</v>
      </c>
      <c r="N191">
        <f>M191/43106674.89</f>
        <v>0</v>
      </c>
      <c r="O191" t="str">
        <v>Ongoing</v>
      </c>
    </row>
    <row r="192">
      <c r="A192" t="str">
        <v/>
      </c>
      <c r="B192" t="str">
        <v>1-1/8"</v>
      </c>
      <c r="C192" t="str">
        <v>length/s</v>
      </c>
      <c r="D192">
        <v>9</v>
      </c>
      <c r="E192">
        <v>846.49</v>
      </c>
      <c r="F192">
        <v>7618.41</v>
      </c>
      <c r="G192">
        <v>0.00017673388215260687</v>
      </c>
      <c r="H192" t="str">
        <v/>
      </c>
      <c r="I192" t="str">
        <v>length/s</v>
      </c>
      <c r="J192">
        <v>0</v>
      </c>
      <c r="K192">
        <v>0</v>
      </c>
      <c r="L192">
        <f>H192*J192</f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1-3/8"</v>
      </c>
      <c r="C193" t="str">
        <v>length/s</v>
      </c>
      <c r="D193">
        <v>2</v>
      </c>
      <c r="E193">
        <v>1011.6600000000001</v>
      </c>
      <c r="F193">
        <v>2023.3200000000002</v>
      </c>
      <c r="G193">
        <v>0.000046937510377757636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1-5/8"</v>
      </c>
      <c r="C194" t="str">
        <v>length/s</v>
      </c>
      <c r="D194">
        <v>24</v>
      </c>
      <c r="E194">
        <v>1011.66</v>
      </c>
      <c r="F194">
        <v>24279.84</v>
      </c>
      <c r="G194">
        <v>0.0005632501245330916</v>
      </c>
      <c r="H194" t="str">
        <v/>
      </c>
      <c r="I194" t="str">
        <v>length/s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>
        <f>H195*J195</f>
        <v>0</v>
      </c>
      <c r="M195">
        <f>K195+L195</f>
        <v>0</v>
      </c>
      <c r="N195">
        <f>M195/43106674.89</f>
        <v>0</v>
      </c>
      <c r="O195" t="str">
        <v/>
      </c>
    </row>
    <row r="196">
      <c r="A196" t="str">
        <v/>
      </c>
      <c r="B196" t="str">
        <v>Copper Pipe Fittings</v>
      </c>
      <c r="C196" t="str">
        <v>lot</v>
      </c>
      <c r="D196">
        <v>1</v>
      </c>
      <c r="E196">
        <v>87733.45999999999</v>
      </c>
      <c r="F196">
        <v>87733.45999999999</v>
      </c>
      <c r="G196">
        <v>0.0020352639173371405</v>
      </c>
      <c r="H196">
        <v>1</v>
      </c>
      <c r="I196" t="str">
        <v>lot</v>
      </c>
      <c r="J196" t="str">
        <v/>
      </c>
      <c r="K196">
        <v>0</v>
      </c>
      <c r="L196">
        <f>H196*J196</f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>
        <f>H197*J197</f>
        <v>0</v>
      </c>
      <c r="M197">
        <f>K197+L197</f>
        <v>0</v>
      </c>
      <c r="N197">
        <f>M197/43106674.89</f>
        <v>0</v>
      </c>
      <c r="O197" t="str">
        <v/>
      </c>
    </row>
    <row r="198">
      <c r="A198" t="str">
        <v/>
      </c>
      <c r="B198" t="str">
        <v>Isolation Ball Valves</v>
      </c>
      <c r="C198" t="str">
        <v>pc/s</v>
      </c>
      <c r="D198">
        <v>26</v>
      </c>
      <c r="E198">
        <v>3207.48</v>
      </c>
      <c r="F198">
        <v>83394.48</v>
      </c>
      <c r="G198">
        <v>0.001934607116248394</v>
      </c>
      <c r="H198" t="str">
        <v/>
      </c>
      <c r="I198" t="str">
        <v>pc/s</v>
      </c>
      <c r="J198">
        <v>0</v>
      </c>
      <c r="K198">
        <v>0</v>
      </c>
      <c r="L198">
        <f>H198*J198</f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>
        <f>H199*J199</f>
        <v>0</v>
      </c>
      <c r="M199">
        <f>K199+L199</f>
        <v>0</v>
      </c>
      <c r="N199">
        <f>M199/43106674.89</f>
        <v>0</v>
      </c>
      <c r="O199" t="str">
        <v/>
      </c>
    </row>
    <row r="200">
      <c r="A200" t="str">
        <v/>
      </c>
      <c r="B200" t="str">
        <v>PVC Cladding Works</v>
      </c>
      <c r="C200" t="str">
        <v>lot</v>
      </c>
      <c r="D200">
        <v>1</v>
      </c>
      <c r="E200">
        <v>8234.77</v>
      </c>
      <c r="F200">
        <v>8234.77</v>
      </c>
      <c r="G200">
        <v>0.0001910323638047601</v>
      </c>
      <c r="H200">
        <v>1</v>
      </c>
      <c r="I200" t="str">
        <v>lot</v>
      </c>
      <c r="J200" t="str">
        <v/>
      </c>
      <c r="K200">
        <v>0</v>
      </c>
      <c r="L200">
        <f>H200*J200</f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>
        <f>H201*J201</f>
        <v>0</v>
      </c>
      <c r="M201">
        <f>K201+L201</f>
        <v>0</v>
      </c>
      <c r="N201">
        <f>M201/43106674.89</f>
        <v>0</v>
      </c>
      <c r="O201" t="str">
        <v/>
      </c>
    </row>
    <row r="202">
      <c r="A202" t="str">
        <v/>
      </c>
      <c r="B202" t="str">
        <v>Concrete Pad</v>
      </c>
      <c r="C202" t="str">
        <v>pcs</v>
      </c>
      <c r="D202">
        <v>3</v>
      </c>
      <c r="E202">
        <v>9622.41</v>
      </c>
      <c r="F202">
        <v>28867.23</v>
      </c>
      <c r="G202">
        <v>0.0006696696062422733</v>
      </c>
      <c r="H202" t="str">
        <v/>
      </c>
      <c r="I202" t="str">
        <v>pcs</v>
      </c>
      <c r="J202">
        <v>0</v>
      </c>
      <c r="K202">
        <v>0</v>
      </c>
      <c r="L202">
        <f>H202*J202</f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>
        <f>H203*J203</f>
        <v>0</v>
      </c>
      <c r="M203">
        <f>K203+L203</f>
        <v>0</v>
      </c>
      <c r="N203">
        <f>M203/43106674.89</f>
        <v>0</v>
      </c>
      <c r="O203" t="str">
        <v/>
      </c>
    </row>
    <row r="204">
      <c r="A204" t="str">
        <v/>
      </c>
      <c r="B204" t="str">
        <v>Condensate Drain Pipes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/>
      </c>
      <c r="B205" t="str">
        <v>32mm dia. uPVC blue pipe PNS 65</v>
      </c>
      <c r="C205" t="str">
        <v>length/s</v>
      </c>
      <c r="D205">
        <v>37</v>
      </c>
      <c r="E205">
        <v>404.15</v>
      </c>
      <c r="F205">
        <v>14953.55</v>
      </c>
      <c r="G205">
        <v>0.0003468963922213578</v>
      </c>
      <c r="H205" t="str">
        <v/>
      </c>
      <c r="I205" t="str">
        <v>length/s</v>
      </c>
      <c r="J205">
        <v>0</v>
      </c>
      <c r="K205">
        <v>0</v>
      </c>
      <c r="L205">
        <f>H205*J205</f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/>
      </c>
      <c r="B206" t="str">
        <v>50mm dia. PVC blue uPVC blue pipe PNS 65</v>
      </c>
      <c r="C206" t="str">
        <v>length/s</v>
      </c>
      <c r="D206">
        <v>24</v>
      </c>
      <c r="E206">
        <v>641.8299999999999</v>
      </c>
      <c r="F206">
        <v>15403.919999999998</v>
      </c>
      <c r="G206">
        <v>0.0003573441941255699</v>
      </c>
      <c r="H206" t="str">
        <v/>
      </c>
      <c r="I206" t="str">
        <v>length/s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>
        <f>H207*J207</f>
        <v>0</v>
      </c>
      <c r="M207">
        <f>K207+L207</f>
        <v>0</v>
      </c>
      <c r="N207">
        <f>M207/43106674.89</f>
        <v>0</v>
      </c>
      <c r="O207" t="str">
        <v/>
      </c>
    </row>
    <row r="208">
      <c r="A208" t="str">
        <v/>
      </c>
      <c r="B208" t="str">
        <v>Condensate Drain Pipes Rubber Insulation 1.5 meters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/>
      </c>
      <c r="B209" t="str">
        <v>3/4'' thick for 32mm pvc</v>
      </c>
      <c r="C209" t="str">
        <v>length/s</v>
      </c>
      <c r="D209">
        <v>74</v>
      </c>
      <c r="E209">
        <v>427.66999999999996</v>
      </c>
      <c r="F209">
        <v>31647.579999999998</v>
      </c>
      <c r="G209">
        <v>0.0007341688979898952</v>
      </c>
      <c r="H209" t="str">
        <v/>
      </c>
      <c r="I209" t="str">
        <v>length/s</v>
      </c>
      <c r="J209">
        <v>0</v>
      </c>
      <c r="K209">
        <v>0</v>
      </c>
      <c r="L209">
        <f>H209*J209</f>
        <v>0</v>
      </c>
      <c r="M209">
        <f>K209+L209</f>
        <v>0</v>
      </c>
      <c r="N209">
        <f>M209/43106674.89</f>
        <v>0</v>
      </c>
      <c r="O209" t="str">
        <v>Ongoing</v>
      </c>
    </row>
    <row r="210">
      <c r="A210" t="str">
        <v/>
      </c>
      <c r="B210" t="str">
        <v>3/4'' thick for 50mm pvc</v>
      </c>
      <c r="C210" t="str">
        <v>length/s</v>
      </c>
      <c r="D210">
        <v>48</v>
      </c>
      <c r="E210">
        <v>812.5699999999998</v>
      </c>
      <c r="F210">
        <v>39003.35999999999</v>
      </c>
      <c r="G210">
        <v>0.0009048102202159898</v>
      </c>
      <c r="H210" t="str">
        <v/>
      </c>
      <c r="I210" t="str">
        <v>length/s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>
        <f>H211*J211</f>
        <v>0</v>
      </c>
      <c r="M211">
        <f>K211+L211</f>
        <v>0</v>
      </c>
      <c r="N211">
        <f>M211/43106674.89</f>
        <v>0</v>
      </c>
      <c r="O211" t="str">
        <v/>
      </c>
    </row>
    <row r="212">
      <c r="A212" t="str">
        <v/>
      </c>
      <c r="B212" t="str">
        <v>Drain Pump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/>
      </c>
      <c r="B213" t="str">
        <v xml:space="preserve"> (5.0m pump Lift) Model: BDU513A450VE</v>
      </c>
      <c r="C213" t="str">
        <v>pcs</v>
      </c>
      <c r="D213">
        <v>12</v>
      </c>
      <c r="E213">
        <v>30473.16</v>
      </c>
      <c r="F213">
        <v>365677.92</v>
      </c>
      <c r="G213">
        <v>0.008483092721327731</v>
      </c>
      <c r="H213" t="str">
        <v/>
      </c>
      <c r="I213" t="str">
        <v>pcs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>
        <f>H214*J214</f>
        <v>0</v>
      </c>
      <c r="M214">
        <f>K214+L214</f>
        <v>0</v>
      </c>
      <c r="N214">
        <f>M214/43106674.89</f>
        <v>0</v>
      </c>
      <c r="O214" t="str">
        <v/>
      </c>
    </row>
    <row r="215">
      <c r="A215" t="str">
        <v/>
      </c>
      <c r="B215" t="str">
        <v>Fittings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>
        <f>H215*J215</f>
        <v>0</v>
      </c>
      <c r="M215">
        <f>K215+L215</f>
        <v>0</v>
      </c>
      <c r="N215">
        <f>M215/43106674.89</f>
        <v>0</v>
      </c>
      <c r="O215" t="str">
        <v/>
      </c>
    </row>
    <row r="216">
      <c r="A216" t="str">
        <v/>
      </c>
      <c r="B216" t="str">
        <v>Wye 50mm</v>
      </c>
      <c r="C216" t="str">
        <v>pcs</v>
      </c>
      <c r="D216">
        <v>3</v>
      </c>
      <c r="E216">
        <v>213.84</v>
      </c>
      <c r="F216">
        <v>641.52</v>
      </c>
      <c r="G216">
        <v>0.000014882149960233215</v>
      </c>
      <c r="H216" t="str">
        <v/>
      </c>
      <c r="I216" t="str">
        <v>pcs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Wye Reducer 50 x 32</v>
      </c>
      <c r="C217" t="str">
        <v>pcs</v>
      </c>
      <c r="D217">
        <v>13</v>
      </c>
      <c r="E217">
        <v>192.45999999999998</v>
      </c>
      <c r="F217">
        <v>2501.9799999999996</v>
      </c>
      <c r="G217">
        <v>0.00005804159115460828</v>
      </c>
      <c r="H217" t="str">
        <v/>
      </c>
      <c r="I217" t="str">
        <v>pcs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Tee 32mm</v>
      </c>
      <c r="C218" t="str">
        <v>pcs</v>
      </c>
      <c r="D218">
        <v>3</v>
      </c>
      <c r="E218">
        <v>53.47</v>
      </c>
      <c r="F218">
        <v>160.41</v>
      </c>
      <c r="G218">
        <v>0.0000037212334379614206</v>
      </c>
      <c r="H218" t="str">
        <v/>
      </c>
      <c r="I218" t="str">
        <v>pcs</v>
      </c>
      <c r="J218">
        <v>0</v>
      </c>
      <c r="K218">
        <v>0</v>
      </c>
      <c r="L218">
        <f>H218*J218</f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>Elbow 32mm</v>
      </c>
      <c r="C219" t="str">
        <v>pcs</v>
      </c>
      <c r="D219">
        <v>6</v>
      </c>
      <c r="E219">
        <v>43.629999999999995</v>
      </c>
      <c r="F219">
        <v>261.78</v>
      </c>
      <c r="G219">
        <v>0.00000607284140259049</v>
      </c>
      <c r="H219" t="str">
        <v/>
      </c>
      <c r="I219" t="str">
        <v>pcs</v>
      </c>
      <c r="J219">
        <v>0</v>
      </c>
      <c r="K219">
        <v>0</v>
      </c>
      <c r="L219">
        <f>H219*J219</f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>Cleanout 50mm</v>
      </c>
      <c r="C220" t="str">
        <v>pcs</v>
      </c>
      <c r="D220">
        <v>4</v>
      </c>
      <c r="E220">
        <v>213.84</v>
      </c>
      <c r="F220">
        <v>855.36</v>
      </c>
      <c r="G220">
        <v>0.00001984286661364429</v>
      </c>
      <c r="H220" t="str">
        <v/>
      </c>
      <c r="I220" t="str">
        <v>pcs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>RELATED ELECTRICAL WORKS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>
        <f>H222*J222</f>
        <v>0</v>
      </c>
      <c r="M222">
        <f>K222+L222</f>
        <v>0</v>
      </c>
      <c r="N222">
        <f>M222/43106674.89</f>
        <v>0</v>
      </c>
      <c r="O222" t="str">
        <v/>
      </c>
    </row>
    <row r="223">
      <c r="A223" t="str">
        <v/>
      </c>
      <c r="B223" t="str">
        <v>Rough-ins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/>
      </c>
      <c r="B224" t="str">
        <v>liquid-tight metallic flexible conduits 1-1/2"</v>
      </c>
      <c r="C224" t="str">
        <v>m</v>
      </c>
      <c r="D224">
        <v>78</v>
      </c>
      <c r="E224">
        <v>404.15</v>
      </c>
      <c r="F224">
        <v>31523.699999999997</v>
      </c>
      <c r="G224">
        <v>0.0007312950971152947</v>
      </c>
      <c r="H224" t="str">
        <v/>
      </c>
      <c r="I224" t="str">
        <v>m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Metallic Flexible Conduit</v>
      </c>
      <c r="C225" t="str">
        <v>m</v>
      </c>
      <c r="D225">
        <v>673</v>
      </c>
      <c r="E225">
        <v>65.87</v>
      </c>
      <c r="F225">
        <v>44330.51</v>
      </c>
      <c r="G225">
        <v>0.0010283908492854756</v>
      </c>
      <c r="H225" t="str">
        <v/>
      </c>
      <c r="I225" t="str">
        <v>m</v>
      </c>
      <c r="J225">
        <v>0</v>
      </c>
      <c r="K225">
        <v>0</v>
      </c>
      <c r="L225">
        <f>H225*J225</f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Metallic Flexible Conduit Connector 20mm</v>
      </c>
      <c r="C226" t="str">
        <v>pcs</v>
      </c>
      <c r="D226">
        <v>34</v>
      </c>
      <c r="E226">
        <v>32.09</v>
      </c>
      <c r="F226">
        <v>1091.0600000000002</v>
      </c>
      <c r="G226">
        <v>0.000025310697305792582</v>
      </c>
      <c r="H226" t="str">
        <v/>
      </c>
      <c r="I226" t="str">
        <v>pcs</v>
      </c>
      <c r="J226">
        <v>0</v>
      </c>
      <c r="K226">
        <v>0</v>
      </c>
      <c r="L226">
        <f>H226*J226</f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Cables / Wires</v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>
        <f>H227*J227</f>
        <v>0</v>
      </c>
      <c r="M227">
        <f>K227+L227</f>
        <v>0</v>
      </c>
      <c r="N227">
        <f>M227/43106674.89</f>
        <v>0</v>
      </c>
      <c r="O227" t="str">
        <v/>
      </c>
    </row>
    <row r="228">
      <c r="A228" t="str">
        <v/>
      </c>
      <c r="B228" t="str">
        <v>Communication wire (PD Royal Cord 0.75mm/2C)</v>
      </c>
      <c r="C228" t="str">
        <v>m</v>
      </c>
      <c r="D228">
        <v>482</v>
      </c>
      <c r="E228">
        <v>80.84</v>
      </c>
      <c r="F228">
        <v>38964.880000000005</v>
      </c>
      <c r="G228">
        <v>0.0009039175510389266</v>
      </c>
      <c r="H228" t="str">
        <v/>
      </c>
      <c r="I228" t="str">
        <v>m</v>
      </c>
      <c r="J228">
        <v>0</v>
      </c>
      <c r="K228">
        <v>0</v>
      </c>
      <c r="L228">
        <f>H228*J228</f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Wire 3.5mm² THHN (5 meters per Unit)</v>
      </c>
      <c r="C229" t="str">
        <v>m</v>
      </c>
      <c r="D229">
        <v>94</v>
      </c>
      <c r="E229">
        <v>78.48</v>
      </c>
      <c r="F229">
        <v>7377.120000000001</v>
      </c>
      <c r="G229">
        <v>0.00017113637316784464</v>
      </c>
      <c r="H229" t="str">
        <v/>
      </c>
      <c r="I229" t="str">
        <v>m</v>
      </c>
      <c r="J229">
        <v>0</v>
      </c>
      <c r="K229">
        <v>0</v>
      </c>
      <c r="L229">
        <f>H229*J229</f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>Wire 5.5mm² THHN (5 meters per Unit)</v>
      </c>
      <c r="C230" t="str">
        <v>m</v>
      </c>
      <c r="D230">
        <v>13</v>
      </c>
      <c r="E230">
        <v>115.83000000000003</v>
      </c>
      <c r="F230">
        <v>1505.7900000000004</v>
      </c>
      <c r="G230">
        <v>0.00003493171310110298</v>
      </c>
      <c r="H230" t="str">
        <v/>
      </c>
      <c r="I230" t="str">
        <v>m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Wire 30.0mm² THHN (5 meters per Unit)</v>
      </c>
      <c r="C231" t="str">
        <v>m</v>
      </c>
      <c r="D231">
        <v>59</v>
      </c>
      <c r="E231">
        <v>789.47</v>
      </c>
      <c r="F231">
        <v>46578.73</v>
      </c>
      <c r="G231">
        <v>0.0010805456491102597</v>
      </c>
      <c r="H231" t="str">
        <v/>
      </c>
      <c r="I231" t="str">
        <v>m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>for ground: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Wire 3.5mm² THHN (G) (5 meters per Unit)</v>
      </c>
      <c r="C233" t="str">
        <v>m</v>
      </c>
      <c r="D233">
        <v>85</v>
      </c>
      <c r="E233">
        <v>78.48</v>
      </c>
      <c r="F233">
        <v>6670.8</v>
      </c>
      <c r="G233">
        <v>0.00015475097573688077</v>
      </c>
      <c r="H233" t="str">
        <v/>
      </c>
      <c r="I233" t="str">
        <v>m</v>
      </c>
      <c r="J233">
        <v>0</v>
      </c>
      <c r="K233">
        <v>0</v>
      </c>
      <c r="L233">
        <f>H233*J233</f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Wire 8.0mm² THHN (G) (5 meters per Unit)</v>
      </c>
      <c r="C234" t="str">
        <v>m</v>
      </c>
      <c r="D234">
        <v>20</v>
      </c>
      <c r="E234">
        <v>187.88</v>
      </c>
      <c r="F234">
        <v>3757.6</v>
      </c>
      <c r="G234">
        <v>0.00008716979469162666</v>
      </c>
      <c r="H234" t="str">
        <v/>
      </c>
      <c r="I234" t="str">
        <v>m</v>
      </c>
      <c r="J234">
        <v>0</v>
      </c>
      <c r="K234">
        <v>0</v>
      </c>
      <c r="L234">
        <f>H234*J234</f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>
        <f>H235*J235</f>
        <v>0</v>
      </c>
      <c r="M235">
        <f>K235+L235</f>
        <v>0</v>
      </c>
      <c r="N235">
        <f>M235/43106674.89</f>
        <v>0</v>
      </c>
      <c r="O235" t="str">
        <v/>
      </c>
    </row>
    <row r="236">
      <c r="A236" t="str">
        <v>II.B</v>
      </c>
      <c r="B236" t="str">
        <v>CONSUMABLES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/>
      </c>
      <c r="B237" t="str">
        <v>Vibration Isolator</v>
      </c>
      <c r="C237" t="str">
        <v>pcs</v>
      </c>
      <c r="D237">
        <v>16</v>
      </c>
      <c r="E237">
        <v>1389.9099999999999</v>
      </c>
      <c r="F237">
        <v>22238.559999999998</v>
      </c>
      <c r="G237">
        <v>0.0005158959733440018</v>
      </c>
      <c r="H237" t="str">
        <v/>
      </c>
      <c r="I237" t="str">
        <v>pcs</v>
      </c>
      <c r="J237">
        <v>0</v>
      </c>
      <c r="K237">
        <v>0</v>
      </c>
      <c r="L237">
        <f>H237*J237</f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Angle Bar, 2x2x 1/4 (6 meters)</v>
      </c>
      <c r="C238" t="str">
        <v>length/s</v>
      </c>
      <c r="D238">
        <v>6</v>
      </c>
      <c r="E238">
        <v>2523.2200000000007</v>
      </c>
      <c r="F238">
        <v>15139.320000000003</v>
      </c>
      <c r="G238">
        <v>0.00035120593362008667</v>
      </c>
      <c r="H238" t="str">
        <v/>
      </c>
      <c r="I238" t="str">
        <v>length/s</v>
      </c>
      <c r="J238">
        <v>0</v>
      </c>
      <c r="K238">
        <v>0</v>
      </c>
      <c r="L238">
        <f>H238*J238</f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Rugby</v>
      </c>
      <c r="C239" t="str">
        <v>bottle</v>
      </c>
      <c r="D239">
        <v>25</v>
      </c>
      <c r="E239">
        <v>277.99000000000007</v>
      </c>
      <c r="F239">
        <v>6949.750000000002</v>
      </c>
      <c r="G239">
        <v>0.00016122213132268806</v>
      </c>
      <c r="H239" t="str">
        <v/>
      </c>
      <c r="I239" t="str">
        <v>bottle</v>
      </c>
      <c r="J239">
        <v>0</v>
      </c>
      <c r="K239">
        <v>0</v>
      </c>
      <c r="L239">
        <f>H239*J239</f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White Tape</v>
      </c>
      <c r="C240" t="str">
        <v>rolls</v>
      </c>
      <c r="D240">
        <v>49</v>
      </c>
      <c r="E240">
        <v>374.2199999999999</v>
      </c>
      <c r="F240">
        <v>18336.779999999995</v>
      </c>
      <c r="G240">
        <v>0.0004253814530299994</v>
      </c>
      <c r="H240" t="str">
        <v/>
      </c>
      <c r="I240" t="str">
        <v>rolls</v>
      </c>
      <c r="J240">
        <v>0</v>
      </c>
      <c r="K240">
        <v>0</v>
      </c>
      <c r="L240">
        <f>H240*J240</f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Threaded rod 3/8 (6 meters)</v>
      </c>
      <c r="C241" t="str">
        <v>length/s</v>
      </c>
      <c r="D241">
        <v>107</v>
      </c>
      <c r="E241">
        <v>171.07000000000002</v>
      </c>
      <c r="F241">
        <v>18304.49</v>
      </c>
      <c r="G241">
        <v>0.0004246323811036123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Nuts and washer 3/8</v>
      </c>
      <c r="C242" t="str">
        <v>pcs</v>
      </c>
      <c r="D242">
        <v>32</v>
      </c>
      <c r="E242">
        <v>21.39</v>
      </c>
      <c r="F242">
        <v>684.48</v>
      </c>
      <c r="G242">
        <v>0.000015878747357495374</v>
      </c>
      <c r="H242" t="str">
        <v/>
      </c>
      <c r="I242" t="str">
        <v>pcs</v>
      </c>
      <c r="J242">
        <v>0</v>
      </c>
      <c r="K242">
        <v>0</v>
      </c>
      <c r="L242">
        <f>H242*J242</f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Grip Anchor 3/8</v>
      </c>
      <c r="C243" t="str">
        <v>pcs</v>
      </c>
      <c r="D243">
        <v>32</v>
      </c>
      <c r="E243">
        <v>10.699999999999998</v>
      </c>
      <c r="F243">
        <v>342.3999999999999</v>
      </c>
      <c r="G243">
        <v>0.000007943085400897639</v>
      </c>
      <c r="H243" t="str">
        <v/>
      </c>
      <c r="I243" t="str">
        <v>pcs</v>
      </c>
      <c r="J243">
        <v>0</v>
      </c>
      <c r="K243">
        <v>0</v>
      </c>
      <c r="L243">
        <f>H243*J243</f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Paint (Red Oxide)</v>
      </c>
      <c r="C244" t="str">
        <v>gallon</v>
      </c>
      <c r="D244">
        <v>1</v>
      </c>
      <c r="E244">
        <v>3432</v>
      </c>
      <c r="F244">
        <v>3432</v>
      </c>
      <c r="G244">
        <v>0.000079616440116474</v>
      </c>
      <c r="H244" t="str">
        <v/>
      </c>
      <c r="I244" t="str">
        <v>gallon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Loop Hangers</v>
      </c>
      <c r="C245" t="str">
        <v>pcs</v>
      </c>
      <c r="D245">
        <v>402</v>
      </c>
      <c r="E245">
        <v>42.78</v>
      </c>
      <c r="F245">
        <v>17197.56</v>
      </c>
      <c r="G245">
        <v>0.0003989535273570714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Freon</v>
      </c>
      <c r="C246" t="str">
        <v>tank</v>
      </c>
      <c r="D246">
        <v>7</v>
      </c>
      <c r="E246">
        <v>14497.769999999999</v>
      </c>
      <c r="F246">
        <v>101484.38999999998</v>
      </c>
      <c r="G246">
        <v>0.0023542616139836515</v>
      </c>
      <c r="H246" t="str">
        <v/>
      </c>
      <c r="I246" t="str">
        <v>tank</v>
      </c>
      <c r="J246">
        <v>0</v>
      </c>
      <c r="K246">
        <v>0</v>
      </c>
      <c r="L246">
        <f>H246*J246</f>
        <v>0</v>
      </c>
      <c r="M246">
        <f>K246+L246</f>
        <v>0</v>
      </c>
      <c r="N246">
        <f>M246/43106674.89</f>
        <v>0</v>
      </c>
      <c r="O246" t="str">
        <v>Ongoing</v>
      </c>
    </row>
    <row r="247">
      <c r="A247" t="str">
        <v/>
      </c>
      <c r="B247" t="str">
        <v>Nitrogen</v>
      </c>
      <c r="C247" t="str">
        <v>tank</v>
      </c>
      <c r="D247">
        <v>4</v>
      </c>
      <c r="E247">
        <v>18175.66</v>
      </c>
      <c r="F247">
        <v>72702.64</v>
      </c>
      <c r="G247">
        <v>0.0016865749952999906</v>
      </c>
      <c r="H247" t="str">
        <v/>
      </c>
      <c r="I247" t="str">
        <v>tank</v>
      </c>
      <c r="J247">
        <v>0</v>
      </c>
      <c r="K247">
        <v>0</v>
      </c>
      <c r="L247">
        <f>H247*J247</f>
        <v>0</v>
      </c>
      <c r="M247">
        <f>K247+L247</f>
        <v>0</v>
      </c>
      <c r="N247">
        <f>M247/43106674.89</f>
        <v>0</v>
      </c>
      <c r="O247" t="str">
        <v>Ongoing</v>
      </c>
    </row>
    <row r="248">
      <c r="A248" t="str">
        <v/>
      </c>
      <c r="B248" t="str">
        <v>Mapp Gas</v>
      </c>
      <c r="C248" t="str">
        <v>tank</v>
      </c>
      <c r="D248">
        <v>12</v>
      </c>
      <c r="E248">
        <v>855.3299999999999</v>
      </c>
      <c r="F248">
        <v>10263.96</v>
      </c>
      <c r="G248">
        <v>0.00023810604798889408</v>
      </c>
      <c r="H248" t="str">
        <v/>
      </c>
      <c r="I248" t="str">
        <v>tank</v>
      </c>
      <c r="J248">
        <v>0</v>
      </c>
      <c r="K248">
        <v>0</v>
      </c>
      <c r="L248">
        <f>H248*J248</f>
        <v>0</v>
      </c>
      <c r="M248">
        <f>K248+L248</f>
        <v>0</v>
      </c>
      <c r="N248">
        <f>M248/43106674.89</f>
        <v>0</v>
      </c>
      <c r="O248" t="str">
        <v>Ongoing</v>
      </c>
    </row>
    <row r="249">
      <c r="A249" t="str">
        <v/>
      </c>
      <c r="B249" t="str">
        <v>Silver Rod</v>
      </c>
      <c r="C249" t="str">
        <v>pcs</v>
      </c>
      <c r="D249">
        <v>160</v>
      </c>
      <c r="E249">
        <v>53.470000000000006</v>
      </c>
      <c r="F249">
        <v>8555.2</v>
      </c>
      <c r="G249">
        <v>0.00019846578335794244</v>
      </c>
      <c r="H249" t="str">
        <v/>
      </c>
      <c r="I249" t="str">
        <v>pcs</v>
      </c>
      <c r="J249">
        <v>0</v>
      </c>
      <c r="K249">
        <v>0</v>
      </c>
      <c r="L249">
        <f>H249*J249</f>
        <v>0</v>
      </c>
      <c r="M249">
        <f>K249+L249</f>
        <v>0</v>
      </c>
      <c r="N249">
        <f>M249/43106674.89</f>
        <v>0</v>
      </c>
      <c r="O249" t="str">
        <v>Ongoing</v>
      </c>
    </row>
    <row r="250">
      <c r="A250" t="str">
        <v/>
      </c>
      <c r="B250" t="str">
        <v>Paint Brush</v>
      </c>
      <c r="C250" t="str">
        <v>pcs</v>
      </c>
      <c r="D250">
        <v>1</v>
      </c>
      <c r="E250">
        <v>213.84</v>
      </c>
      <c r="F250">
        <v>213.84</v>
      </c>
      <c r="G250">
        <v>0.000004960716653411073</v>
      </c>
      <c r="H250" t="str">
        <v/>
      </c>
      <c r="I250" t="str">
        <v>pcs</v>
      </c>
      <c r="J250">
        <v>0</v>
      </c>
      <c r="K250">
        <v>0</v>
      </c>
      <c r="L250">
        <f>H250*J250</f>
        <v>0</v>
      </c>
      <c r="M250">
        <f>K250+L250</f>
        <v>0</v>
      </c>
      <c r="N250">
        <f>M250/43106674.89</f>
        <v>0</v>
      </c>
      <c r="O250" t="str">
        <v>Ongoing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>
        <f>H251*J251</f>
        <v>0</v>
      </c>
      <c r="M251">
        <f>K251+L251</f>
        <v>0</v>
      </c>
      <c r="N251">
        <f>M251/43106674.89</f>
        <v>0</v>
      </c>
      <c r="O251" t="str">
        <v/>
      </c>
    </row>
    <row r="252">
      <c r="A252" t="str">
        <v>II.C</v>
      </c>
      <c r="B252" t="str">
        <v>CHIPPING &amp; RESTORATION (ROUGH-ONLY)</v>
      </c>
      <c r="C252" t="str">
        <v>lot</v>
      </c>
      <c r="D252">
        <v>1</v>
      </c>
      <c r="E252">
        <v>737348.8400000002</v>
      </c>
      <c r="F252">
        <v>737348.8400000002</v>
      </c>
      <c r="G252">
        <v>0.017105212635434613</v>
      </c>
      <c r="H252">
        <v>1</v>
      </c>
      <c r="I252" t="str">
        <v>lot</v>
      </c>
      <c r="J252" t="str">
        <v/>
      </c>
      <c r="K252">
        <v>0</v>
      </c>
      <c r="L252">
        <f>H252*J252</f>
        <v>0</v>
      </c>
      <c r="M252">
        <f>K252+L252</f>
        <v>0</v>
      </c>
      <c r="N252">
        <f>M252/43106674.89</f>
        <v>0</v>
      </c>
      <c r="O252" t="str">
        <v>Ongoing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>
        <f>H253*J253</f>
        <v>0</v>
      </c>
      <c r="M253">
        <f>K253+L253</f>
        <v>0</v>
      </c>
      <c r="N253">
        <f>M253/43106674.89</f>
        <v>0</v>
      </c>
      <c r="O253" t="str">
        <v/>
      </c>
    </row>
    <row r="254">
      <c r="A254" t="str">
        <v>II.D</v>
      </c>
      <c r="B254" t="str">
        <v>MISCELLANEOUS</v>
      </c>
      <c r="C254" t="str">
        <v>lot</v>
      </c>
      <c r="D254">
        <v>1</v>
      </c>
      <c r="E254">
        <v>6640.710000000001</v>
      </c>
      <c r="F254">
        <v>6640.710000000001</v>
      </c>
      <c r="G254">
        <v>0.00015405293999005542</v>
      </c>
      <c r="H254">
        <v>1</v>
      </c>
      <c r="I254" t="str">
        <v>lot</v>
      </c>
      <c r="J254" t="str">
        <v/>
      </c>
      <c r="K254">
        <v>0</v>
      </c>
      <c r="L254">
        <f>H254*J254</f>
        <v>0</v>
      </c>
      <c r="M254">
        <f>K254+L254</f>
        <v>0</v>
      </c>
      <c r="N254">
        <f>M254/43106674.89</f>
        <v>0</v>
      </c>
      <c r="O254" t="str">
        <v>Ongoing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>
        <f>H255*J255</f>
        <v>0</v>
      </c>
      <c r="M255">
        <f>K255+L255</f>
        <v>0</v>
      </c>
      <c r="N255">
        <f>M255/43106674.89</f>
        <v>0</v>
      </c>
      <c r="O255" t="str">
        <v/>
      </c>
    </row>
    <row r="256">
      <c r="A256" t="str">
        <v>II.E</v>
      </c>
      <c r="B256" t="str">
        <v>TESTING &amp; COMMISIONING</v>
      </c>
      <c r="C256" t="str">
        <v>lot</v>
      </c>
      <c r="D256">
        <v>1</v>
      </c>
      <c r="E256">
        <v>47190.33</v>
      </c>
      <c r="F256">
        <v>47190.33</v>
      </c>
      <c r="G256">
        <v>0.001094733707028452</v>
      </c>
      <c r="H256">
        <v>1</v>
      </c>
      <c r="I256" t="str">
        <v>lot</v>
      </c>
      <c r="J256" t="str">
        <v/>
      </c>
      <c r="K256">
        <v>0</v>
      </c>
      <c r="L256">
        <f>H256*J256</f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>
        <f>H257*J257</f>
        <v>0</v>
      </c>
      <c r="M257">
        <f>K257+L257</f>
        <v>0</v>
      </c>
      <c r="N257">
        <f>M257/43106674.89</f>
        <v>0</v>
      </c>
      <c r="O257" t="str">
        <v/>
      </c>
    </row>
    <row r="258">
      <c r="A258" t="str">
        <v>III.A</v>
      </c>
      <c r="B258" t="str">
        <v>AIR CONDITIONING- VRV SYSTEM C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>
        <f>H258*J258</f>
        <v>0</v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ACCU- Model: RXQ18BYM</v>
      </c>
      <c r="C259" t="str">
        <v>units</v>
      </c>
      <c r="D259">
        <v>3</v>
      </c>
      <c r="E259">
        <v>741057.71</v>
      </c>
      <c r="F259">
        <v>2223173.13</v>
      </c>
      <c r="G259">
        <v>0.05157375593624682</v>
      </c>
      <c r="H259" t="str">
        <v/>
      </c>
      <c r="I259" t="str">
        <v>units</v>
      </c>
      <c r="J259">
        <v>0</v>
      </c>
      <c r="K259">
        <v>0</v>
      </c>
      <c r="L259">
        <f>H259*J259</f>
        <v>0</v>
      </c>
      <c r="M259">
        <f>K259+L259</f>
        <v>0</v>
      </c>
      <c r="N259">
        <f>M259/43106674.89</f>
        <v>0</v>
      </c>
      <c r="O259" t="str">
        <v>Ongoing</v>
      </c>
    </row>
    <row r="260">
      <c r="A260" t="str">
        <v/>
      </c>
      <c r="B260" t="str">
        <v>FCU- 2 HP Wall Mounted VRF C (Storage Room, OR No. 8 Ortho, NSS/Pay, OR No. 9 Plastic Surgery (2) ) Model: FXAQ50BVM</v>
      </c>
      <c r="C260" t="str">
        <v>units</v>
      </c>
      <c r="D260">
        <v>1</v>
      </c>
      <c r="E260">
        <v>55087.34</v>
      </c>
      <c r="F260">
        <v>55087.34</v>
      </c>
      <c r="G260">
        <v>0.0012779306253746627</v>
      </c>
      <c r="H260" t="str">
        <v/>
      </c>
      <c r="I260" t="str">
        <v>units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>Ongoing</v>
      </c>
    </row>
    <row r="261">
      <c r="A261" t="str">
        <v/>
      </c>
      <c r="B261" t="str">
        <v>FCU- 2.5HP Wall Mounted VRF C (OR No. 4,  Euro- Endo (2), OR No. 7 Ortho, OR. 12 Pedia,  OR No. 10 Pay) Model: FXAQ63BVM</v>
      </c>
      <c r="C261" t="str">
        <v>units</v>
      </c>
      <c r="D261">
        <v>7</v>
      </c>
      <c r="E261">
        <v>56222.86</v>
      </c>
      <c r="F261">
        <v>393560.02</v>
      </c>
      <c r="G261">
        <v>0.009129909022310114</v>
      </c>
      <c r="H261" t="str">
        <v/>
      </c>
      <c r="I261" t="str">
        <v>units</v>
      </c>
      <c r="J261">
        <v>0</v>
      </c>
      <c r="K261">
        <v>0</v>
      </c>
      <c r="L261">
        <f>H261*J261</f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FCU- 6HP ceiling Cassette VRF C (Corridor near Ortho, Corridor near OR. No. 10, Corridor near NSS/Pay) Model: FXFQ140AVM</v>
      </c>
      <c r="C262" t="str">
        <v>units</v>
      </c>
      <c r="D262">
        <v>2</v>
      </c>
      <c r="E262">
        <v>87530.69</v>
      </c>
      <c r="F262">
        <v>175061.38</v>
      </c>
      <c r="G262">
        <v>0.004061120010919959</v>
      </c>
      <c r="H262" t="str">
        <v/>
      </c>
      <c r="I262" t="str">
        <v>units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>
        <f>H263*J263</f>
        <v>0</v>
      </c>
      <c r="M263">
        <f>K263+L263</f>
        <v>0</v>
      </c>
      <c r="N263">
        <f>M263/43106674.89</f>
        <v>0</v>
      </c>
      <c r="O263" t="str">
        <v/>
      </c>
    </row>
    <row r="264">
      <c r="A264" t="str">
        <v/>
      </c>
      <c r="B264" t="str">
        <v>Accessories: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Wired Remote Controller Model: BRC1E63</v>
      </c>
      <c r="C265" t="str">
        <v>units</v>
      </c>
      <c r="D265">
        <v>10</v>
      </c>
      <c r="E265">
        <v>11760.720000000001</v>
      </c>
      <c r="F265">
        <v>117607.20000000001</v>
      </c>
      <c r="G265">
        <v>0.002728282807711592</v>
      </c>
      <c r="H265" t="str">
        <v/>
      </c>
      <c r="I265" t="str">
        <v>units</v>
      </c>
      <c r="J265">
        <v>0</v>
      </c>
      <c r="K265">
        <v>0</v>
      </c>
      <c r="L265">
        <f>H265*J265</f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Standard panel(Fresh white) Model: BYCQ125EAF</v>
      </c>
      <c r="C266" t="str">
        <v>units</v>
      </c>
      <c r="D266">
        <v>2</v>
      </c>
      <c r="E266">
        <v>22345.370000000003</v>
      </c>
      <c r="F266">
        <v>44690.740000000005</v>
      </c>
      <c r="G266">
        <v>0.0010367475597234585</v>
      </c>
      <c r="H266" t="str">
        <v/>
      </c>
      <c r="I266" t="str">
        <v>units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Refnet Joints Model: KHRP26A33T</v>
      </c>
      <c r="C267" t="str">
        <v>units</v>
      </c>
      <c r="D267">
        <v>2</v>
      </c>
      <c r="E267">
        <v>4939.510000000001</v>
      </c>
      <c r="F267">
        <v>9879.020000000002</v>
      </c>
      <c r="G267">
        <v>0.00022917610846137797</v>
      </c>
      <c r="H267" t="str">
        <v/>
      </c>
      <c r="I267" t="str">
        <v>units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Refnet Joints Model: KHRP26A72T</v>
      </c>
      <c r="C268" t="str">
        <v>units</v>
      </c>
      <c r="D268">
        <v>4</v>
      </c>
      <c r="E268">
        <v>8232.51</v>
      </c>
      <c r="F268">
        <v>32930.04</v>
      </c>
      <c r="G268">
        <v>0.0007639197429175681</v>
      </c>
      <c r="H268" t="str">
        <v/>
      </c>
      <c r="I268" t="str">
        <v>units</v>
      </c>
      <c r="J268">
        <v>0</v>
      </c>
      <c r="K268">
        <v>0</v>
      </c>
      <c r="L268">
        <f>H268*J268</f>
        <v>0</v>
      </c>
      <c r="M268">
        <f>K268+L268</f>
        <v>0</v>
      </c>
      <c r="N268">
        <f>M268/43106674.89</f>
        <v>0</v>
      </c>
      <c r="O268" t="str">
        <v>Ongoing</v>
      </c>
    </row>
    <row r="269">
      <c r="A269" t="str">
        <v/>
      </c>
      <c r="B269" t="str">
        <v xml:space="preserve">Refnet Joints Model: KHRP26A73T </v>
      </c>
      <c r="C269" t="str">
        <v>units</v>
      </c>
      <c r="D269">
        <v>3</v>
      </c>
      <c r="E269">
        <v>14112.87</v>
      </c>
      <c r="F269">
        <v>42338.61</v>
      </c>
      <c r="G269">
        <v>0.0009821822283449149</v>
      </c>
      <c r="H269" t="str">
        <v/>
      </c>
      <c r="I269" t="str">
        <v>units</v>
      </c>
      <c r="J269">
        <v>0</v>
      </c>
      <c r="K269">
        <v>0</v>
      </c>
      <c r="L269">
        <f>H269*J269</f>
        <v>0</v>
      </c>
      <c r="M269">
        <f>K269+L269</f>
        <v>0</v>
      </c>
      <c r="N269">
        <f>M269/43106674.89</f>
        <v>0</v>
      </c>
      <c r="O269" t="str">
        <v>Ongoing</v>
      </c>
    </row>
    <row r="270">
      <c r="A270" t="str">
        <v/>
      </c>
      <c r="B270" t="str">
        <v>Pipe Size Reducer Model: KHRP26M73TP</v>
      </c>
      <c r="C270" t="str">
        <v>units</v>
      </c>
      <c r="D270">
        <v>3</v>
      </c>
      <c r="E270">
        <v>5997.970000000001</v>
      </c>
      <c r="F270">
        <v>17993.910000000003</v>
      </c>
      <c r="G270">
        <v>0.00041742746444528643</v>
      </c>
      <c r="H270" t="str">
        <v/>
      </c>
      <c r="I270" t="str">
        <v>units</v>
      </c>
      <c r="J270">
        <v>0</v>
      </c>
      <c r="K270">
        <v>0</v>
      </c>
      <c r="L270">
        <f>H270*J270</f>
        <v>0</v>
      </c>
      <c r="M270">
        <f>K270+L270</f>
        <v>0</v>
      </c>
      <c r="N270">
        <f>M270/43106674.89</f>
        <v>0</v>
      </c>
      <c r="O270" t="str">
        <v>Ongoing</v>
      </c>
    </row>
    <row r="271">
      <c r="A271" t="str">
        <v/>
      </c>
      <c r="B271" t="str">
        <v>VRV Multi Con piping kit Model: BHFP22R168-7</v>
      </c>
      <c r="C271" t="str">
        <v>units</v>
      </c>
      <c r="D271">
        <v>1</v>
      </c>
      <c r="E271">
        <v>39751.22</v>
      </c>
      <c r="F271">
        <v>39751.22</v>
      </c>
      <c r="G271">
        <v>0.0009221592735101353</v>
      </c>
      <c r="H271" t="str">
        <v/>
      </c>
      <c r="I271" t="str">
        <v>units</v>
      </c>
      <c r="J271">
        <v>0</v>
      </c>
      <c r="K271">
        <v>0</v>
      </c>
      <c r="L271">
        <f>H271*J271</f>
        <v>0</v>
      </c>
      <c r="M271">
        <f>K271+L271</f>
        <v>0</v>
      </c>
      <c r="N271">
        <f>M271/43106674.89</f>
        <v>0</v>
      </c>
      <c r="O271" t="str">
        <v>Ongoing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 xml:space="preserve">Copper Pipes - Type L Hard Drawn Pipes </v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/>
      </c>
      <c r="B274" t="str">
        <v>1/4"</v>
      </c>
      <c r="C274" t="str">
        <v>length/s</v>
      </c>
      <c r="D274">
        <v>1</v>
      </c>
      <c r="E274">
        <v>2120.33</v>
      </c>
      <c r="F274">
        <v>2120.33</v>
      </c>
      <c r="G274">
        <v>0.000049187973913800506</v>
      </c>
      <c r="H274" t="str">
        <v/>
      </c>
      <c r="I274" t="str">
        <v>length/s</v>
      </c>
      <c r="J274">
        <v>0</v>
      </c>
      <c r="K274">
        <v>0</v>
      </c>
      <c r="L274">
        <f>H274*J274</f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3/8"</v>
      </c>
      <c r="C275" t="str">
        <v>length/s</v>
      </c>
      <c r="D275">
        <v>11</v>
      </c>
      <c r="E275">
        <v>2952.3500000000004</v>
      </c>
      <c r="F275">
        <v>32475.850000000006</v>
      </c>
      <c r="G275">
        <v>0.000753383323647026</v>
      </c>
      <c r="H275" t="str">
        <v/>
      </c>
      <c r="I275" t="str">
        <v>length/s</v>
      </c>
      <c r="J275">
        <v>0</v>
      </c>
      <c r="K275">
        <v>0</v>
      </c>
      <c r="L275">
        <f>H275*J275</f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1/2"</v>
      </c>
      <c r="C276" t="str">
        <v>length/s</v>
      </c>
      <c r="D276">
        <v>2</v>
      </c>
      <c r="E276">
        <v>4696.92</v>
      </c>
      <c r="F276">
        <v>9393.84</v>
      </c>
      <c r="G276">
        <v>0.00021792077500691672</v>
      </c>
      <c r="H276" t="str">
        <v/>
      </c>
      <c r="I276" t="str">
        <v>length/s</v>
      </c>
      <c r="J276">
        <v>0</v>
      </c>
      <c r="K276">
        <v>0</v>
      </c>
      <c r="L276">
        <f>H276*J276</f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5/8"</v>
      </c>
      <c r="C277" t="str">
        <v>length/s</v>
      </c>
      <c r="D277">
        <v>14</v>
      </c>
      <c r="E277">
        <v>6775.950000000002</v>
      </c>
      <c r="F277">
        <v>94863.30000000002</v>
      </c>
      <c r="G277">
        <v>0.002200663823922235</v>
      </c>
      <c r="H277" t="str">
        <v/>
      </c>
      <c r="I277" t="str">
        <v>length/s</v>
      </c>
      <c r="J277">
        <v>0</v>
      </c>
      <c r="K277">
        <v>0</v>
      </c>
      <c r="L277">
        <f>H277*J277</f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3/4"</v>
      </c>
      <c r="C278" t="str">
        <v>length/s</v>
      </c>
      <c r="D278">
        <v>9</v>
      </c>
      <c r="E278">
        <v>8642.33</v>
      </c>
      <c r="F278">
        <v>77780.97</v>
      </c>
      <c r="G278">
        <v>0.001804383432461032</v>
      </c>
      <c r="H278" t="str">
        <v/>
      </c>
      <c r="I278" t="str">
        <v>length/s</v>
      </c>
      <c r="J278">
        <v>0</v>
      </c>
      <c r="K278">
        <v>0</v>
      </c>
      <c r="L278">
        <f>H278*J278</f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7/8"</v>
      </c>
      <c r="C279" t="str">
        <v>length/s</v>
      </c>
      <c r="D279">
        <v>1</v>
      </c>
      <c r="E279">
        <v>10870.01</v>
      </c>
      <c r="F279">
        <v>10870.01</v>
      </c>
      <c r="G279">
        <v>0.0002521653555450098</v>
      </c>
      <c r="H279" t="str">
        <v/>
      </c>
      <c r="I279" t="str">
        <v>length/s</v>
      </c>
      <c r="J279">
        <v>0</v>
      </c>
      <c r="K279">
        <v>0</v>
      </c>
      <c r="L279">
        <f>H279*J279</f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1-1/8"</v>
      </c>
      <c r="C280" t="str">
        <v>length/s</v>
      </c>
      <c r="D280">
        <v>5</v>
      </c>
      <c r="E280">
        <v>15566.920000000002</v>
      </c>
      <c r="F280">
        <v>77834.6</v>
      </c>
      <c r="G280">
        <v>0.0018056275553291693</v>
      </c>
      <c r="H280" t="str">
        <v/>
      </c>
      <c r="I280" t="str">
        <v>length/s</v>
      </c>
      <c r="J280">
        <v>0</v>
      </c>
      <c r="K280">
        <v>0</v>
      </c>
      <c r="L280">
        <f>H280*J280</f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1-3/8"</v>
      </c>
      <c r="C281" t="str">
        <v>length/s</v>
      </c>
      <c r="D281">
        <v>3</v>
      </c>
      <c r="E281">
        <v>21015.330000000005</v>
      </c>
      <c r="F281">
        <v>63045.99000000002</v>
      </c>
      <c r="G281">
        <v>0.0014625574846791436</v>
      </c>
      <c r="H281" t="str">
        <v/>
      </c>
      <c r="I281" t="str">
        <v>length/s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1-5/8"</v>
      </c>
      <c r="C282" t="str">
        <v>length/s</v>
      </c>
      <c r="D282">
        <v>7</v>
      </c>
      <c r="E282">
        <v>27039.769999999997</v>
      </c>
      <c r="F282">
        <v>189278.38999999998</v>
      </c>
      <c r="G282">
        <v>0.0043909299541892806</v>
      </c>
      <c r="H282" t="str">
        <v/>
      </c>
      <c r="I282" t="str">
        <v>length/s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>
        <f>H283*J283</f>
        <v>0</v>
      </c>
      <c r="M283">
        <f>K283+L283</f>
        <v>0</v>
      </c>
      <c r="N283">
        <f>M283/43106674.89</f>
        <v>0</v>
      </c>
      <c r="O283" t="str">
        <v/>
      </c>
    </row>
    <row r="284">
      <c r="A284" t="str">
        <v/>
      </c>
      <c r="B284" t="str">
        <v xml:space="preserve">Copper Pipes Insulation 25mm Thick </v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>
        <f>H284*J284</f>
        <v>0</v>
      </c>
      <c r="M284">
        <f>K284+L284</f>
        <v>0</v>
      </c>
      <c r="N284">
        <f>M284/43106674.89</f>
        <v>0</v>
      </c>
      <c r="O284" t="str">
        <v/>
      </c>
    </row>
    <row r="285">
      <c r="A285" t="str">
        <v/>
      </c>
      <c r="B285" t="str">
        <v>1/4"</v>
      </c>
      <c r="C285" t="str">
        <v>length/s</v>
      </c>
      <c r="D285">
        <v>2</v>
      </c>
      <c r="E285">
        <v>433.56999999999994</v>
      </c>
      <c r="F285">
        <v>867.1399999999999</v>
      </c>
      <c r="G285">
        <v>0.00002011614215693452</v>
      </c>
      <c r="H285" t="str">
        <v/>
      </c>
      <c r="I285" t="str">
        <v>length/s</v>
      </c>
      <c r="J285">
        <v>0</v>
      </c>
      <c r="K285">
        <v>0</v>
      </c>
      <c r="L285">
        <f>H285*J285</f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/>
      </c>
      <c r="B286" t="str">
        <v>3/8"</v>
      </c>
      <c r="C286" t="str">
        <v>length/s</v>
      </c>
      <c r="D286">
        <v>21</v>
      </c>
      <c r="E286">
        <v>441.8299999999999</v>
      </c>
      <c r="F286">
        <v>9278.429999999998</v>
      </c>
      <c r="G286">
        <v>0.0002152434634236293</v>
      </c>
      <c r="H286" t="str">
        <v/>
      </c>
      <c r="I286" t="str">
        <v>length/s</v>
      </c>
      <c r="J286">
        <v>0</v>
      </c>
      <c r="K286">
        <v>0</v>
      </c>
      <c r="L286">
        <f>H286*J286</f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/>
      </c>
      <c r="B287" t="str">
        <v>1/2"</v>
      </c>
      <c r="C287" t="str">
        <v>length/s</v>
      </c>
      <c r="D287">
        <v>4</v>
      </c>
      <c r="E287">
        <v>516.15</v>
      </c>
      <c r="F287">
        <v>2064.6</v>
      </c>
      <c r="G287">
        <v>0.00004789513469244529</v>
      </c>
      <c r="H287" t="str">
        <v/>
      </c>
      <c r="I287" t="str">
        <v>length/s</v>
      </c>
      <c r="J287">
        <v>0</v>
      </c>
      <c r="K287">
        <v>0</v>
      </c>
      <c r="L287">
        <f>H287*J287</f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/>
      </c>
      <c r="B288" t="str">
        <v>5/8"</v>
      </c>
      <c r="C288" t="str">
        <v>length/s</v>
      </c>
      <c r="D288">
        <v>27</v>
      </c>
      <c r="E288">
        <v>629.7099999999999</v>
      </c>
      <c r="F288">
        <v>17002.17</v>
      </c>
      <c r="G288">
        <v>0.00039442081866407656</v>
      </c>
      <c r="H288" t="str">
        <v/>
      </c>
      <c r="I288" t="str">
        <v>length/s</v>
      </c>
      <c r="J288">
        <v>0</v>
      </c>
      <c r="K288">
        <v>0</v>
      </c>
      <c r="L288">
        <f>H288*J288</f>
        <v>0</v>
      </c>
      <c r="M288">
        <f>K288+L288</f>
        <v>0</v>
      </c>
      <c r="N288">
        <f>M288/43106674.89</f>
        <v>0</v>
      </c>
      <c r="O288" t="str">
        <v>Ongoing</v>
      </c>
    </row>
    <row r="289">
      <c r="A289" t="str">
        <v/>
      </c>
      <c r="B289" t="str">
        <v>3/4"</v>
      </c>
      <c r="C289" t="str">
        <v>length/s</v>
      </c>
      <c r="D289">
        <v>17</v>
      </c>
      <c r="E289">
        <v>708.16</v>
      </c>
      <c r="F289">
        <v>12038.72</v>
      </c>
      <c r="G289">
        <v>0.00027927739800670103</v>
      </c>
      <c r="H289" t="str">
        <v/>
      </c>
      <c r="I289" t="str">
        <v>length/s</v>
      </c>
      <c r="J289">
        <v>0</v>
      </c>
      <c r="K289">
        <v>0</v>
      </c>
      <c r="L289">
        <f>H289*J289</f>
        <v>0</v>
      </c>
      <c r="M289">
        <f>K289+L289</f>
        <v>0</v>
      </c>
      <c r="N289">
        <f>M289/43106674.89</f>
        <v>0</v>
      </c>
      <c r="O289" t="str">
        <v>Ongoing</v>
      </c>
    </row>
    <row r="290">
      <c r="A290" t="str">
        <v/>
      </c>
      <c r="B290" t="str">
        <v>7/8"</v>
      </c>
      <c r="C290" t="str">
        <v>length/s</v>
      </c>
      <c r="D290">
        <v>2</v>
      </c>
      <c r="E290">
        <v>784.55</v>
      </c>
      <c r="F290">
        <v>1569.1</v>
      </c>
      <c r="G290">
        <v>0.00003640039515931217</v>
      </c>
      <c r="H290" t="str">
        <v/>
      </c>
      <c r="I290" t="str">
        <v>length/s</v>
      </c>
      <c r="J290">
        <v>0</v>
      </c>
      <c r="K290">
        <v>0</v>
      </c>
      <c r="L290">
        <f>H290*J290</f>
        <v>0</v>
      </c>
      <c r="M290">
        <f>K290+L290</f>
        <v>0</v>
      </c>
      <c r="N290">
        <f>M290/43106674.89</f>
        <v>0</v>
      </c>
      <c r="O290" t="str">
        <v>Ongoing</v>
      </c>
    </row>
    <row r="291">
      <c r="A291" t="str">
        <v/>
      </c>
      <c r="B291" t="str">
        <v>1-1/8"</v>
      </c>
      <c r="C291" t="str">
        <v>length/s</v>
      </c>
      <c r="D291">
        <v>10</v>
      </c>
      <c r="E291">
        <v>846.49</v>
      </c>
      <c r="F291">
        <v>8464.9</v>
      </c>
      <c r="G291">
        <v>0.00019637098016956318</v>
      </c>
      <c r="H291" t="str">
        <v/>
      </c>
      <c r="I291" t="str">
        <v>length/s</v>
      </c>
      <c r="J291">
        <v>0</v>
      </c>
      <c r="K291">
        <v>0</v>
      </c>
      <c r="L291">
        <f>H291*J291</f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1-3/8"</v>
      </c>
      <c r="C292" t="str">
        <v>length/s</v>
      </c>
      <c r="D292">
        <v>5</v>
      </c>
      <c r="E292">
        <v>896.03</v>
      </c>
      <c r="F292">
        <v>4480.15</v>
      </c>
      <c r="G292">
        <v>0.00010393169993817628</v>
      </c>
      <c r="H292" t="str">
        <v/>
      </c>
      <c r="I292" t="str">
        <v>length/s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1-5/8"</v>
      </c>
      <c r="C293" t="str">
        <v>length/s</v>
      </c>
      <c r="D293">
        <v>13</v>
      </c>
      <c r="E293">
        <v>1011.66</v>
      </c>
      <c r="F293">
        <v>13151.58</v>
      </c>
      <c r="G293">
        <v>0.0003050938174554246</v>
      </c>
      <c r="H293" t="str">
        <v/>
      </c>
      <c r="I293" t="str">
        <v>length/s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>
        <f>H294*J294</f>
        <v>0</v>
      </c>
      <c r="M294">
        <f>K294+L294</f>
        <v>0</v>
      </c>
      <c r="N294">
        <f>M294/43106674.89</f>
        <v>0</v>
      </c>
      <c r="O294" t="str">
        <v/>
      </c>
    </row>
    <row r="295">
      <c r="A295" t="str">
        <v/>
      </c>
      <c r="B295" t="str">
        <v>Copper Pipe Fittings</v>
      </c>
      <c r="C295" t="str">
        <v>lot</v>
      </c>
      <c r="D295">
        <v>1</v>
      </c>
      <c r="E295">
        <v>59135.149999999994</v>
      </c>
      <c r="F295">
        <v>59135.149999999994</v>
      </c>
      <c r="G295">
        <v>0.0013718327880983996</v>
      </c>
      <c r="H295">
        <v>1</v>
      </c>
      <c r="I295" t="str">
        <v>lot</v>
      </c>
      <c r="J295" t="str">
        <v/>
      </c>
      <c r="K295">
        <v>0</v>
      </c>
      <c r="L295">
        <f>H295*J295</f>
        <v>0</v>
      </c>
      <c r="M295">
        <f>K295+L295</f>
        <v>0</v>
      </c>
      <c r="N295">
        <f>M295/43106674.89</f>
        <v>0</v>
      </c>
      <c r="O295" t="str">
        <v>Ongoing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>
        <f>H296*J296</f>
        <v>0</v>
      </c>
      <c r="M296">
        <f>K296+L296</f>
        <v>0</v>
      </c>
      <c r="N296">
        <f>M296/43106674.89</f>
        <v>0</v>
      </c>
      <c r="O296" t="str">
        <v/>
      </c>
    </row>
    <row r="297">
      <c r="A297" t="str">
        <v/>
      </c>
      <c r="B297" t="str">
        <v>Isolation Ball Valves</v>
      </c>
      <c r="C297" t="str">
        <v>pc/s</v>
      </c>
      <c r="D297">
        <v>20</v>
      </c>
      <c r="E297">
        <v>3207.4800000000005</v>
      </c>
      <c r="F297">
        <v>64149.600000000006</v>
      </c>
      <c r="G297">
        <v>0.0014881593201910726</v>
      </c>
      <c r="H297" t="str">
        <v/>
      </c>
      <c r="I297" t="str">
        <v>pc/s</v>
      </c>
      <c r="J297">
        <v>0</v>
      </c>
      <c r="K297">
        <v>0</v>
      </c>
      <c r="L297">
        <f>H297*J297</f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>
        <f>H298*J298</f>
        <v>0</v>
      </c>
      <c r="M298">
        <f>K298+L298</f>
        <v>0</v>
      </c>
      <c r="N298">
        <f>M298/43106674.89</f>
        <v>0</v>
      </c>
      <c r="O298" t="str">
        <v/>
      </c>
    </row>
    <row r="299">
      <c r="A299" t="str">
        <v/>
      </c>
      <c r="B299" t="str">
        <v>PVC Cladding Works</v>
      </c>
      <c r="C299" t="str">
        <v>lot</v>
      </c>
      <c r="D299">
        <v>1</v>
      </c>
      <c r="E299">
        <v>19711.72</v>
      </c>
      <c r="F299">
        <v>19711.72</v>
      </c>
      <c r="G299">
        <v>0.0004572776733603447</v>
      </c>
      <c r="H299">
        <v>1</v>
      </c>
      <c r="I299" t="str">
        <v>lot</v>
      </c>
      <c r="J299" t="str">
        <v/>
      </c>
      <c r="K299">
        <v>0</v>
      </c>
      <c r="L299">
        <f>H299*J299</f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>
        <f>H300*J300</f>
        <v>0</v>
      </c>
      <c r="M300">
        <f>K300+L300</f>
        <v>0</v>
      </c>
      <c r="N300">
        <f>M300/43106674.89</f>
        <v>0</v>
      </c>
      <c r="O300" t="str">
        <v/>
      </c>
    </row>
    <row r="301">
      <c r="A301" t="str">
        <v/>
      </c>
      <c r="B301" t="str">
        <v>Concrete Pad</v>
      </c>
      <c r="C301" t="str">
        <v>pcs</v>
      </c>
      <c r="D301">
        <v>3</v>
      </c>
      <c r="E301">
        <v>9622.41</v>
      </c>
      <c r="F301">
        <v>28867.23</v>
      </c>
      <c r="G301">
        <v>0.0006696696062422733</v>
      </c>
      <c r="H301" t="str">
        <v/>
      </c>
      <c r="I301" t="str">
        <v>pcs</v>
      </c>
      <c r="J301">
        <v>0</v>
      </c>
      <c r="K301">
        <v>0</v>
      </c>
      <c r="L301">
        <f>H301*J301</f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>
        <f>H302*J302</f>
        <v>0</v>
      </c>
      <c r="M302">
        <f>K302+L302</f>
        <v>0</v>
      </c>
      <c r="N302">
        <f>M302/43106674.89</f>
        <v>0</v>
      </c>
      <c r="O302" t="str">
        <v/>
      </c>
    </row>
    <row r="303">
      <c r="A303" t="str">
        <v/>
      </c>
      <c r="B303" t="str">
        <v>Condensate Drain Pipes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/>
      </c>
      <c r="B304" t="str">
        <v>32mm dia. uPVC blue pipe PNS 65</v>
      </c>
      <c r="C304" t="str">
        <v>length/s</v>
      </c>
      <c r="D304">
        <v>33</v>
      </c>
      <c r="E304">
        <v>404.15000000000003</v>
      </c>
      <c r="F304">
        <v>13336.95</v>
      </c>
      <c r="G304">
        <v>0.0003093940795487786</v>
      </c>
      <c r="H304" t="str">
        <v/>
      </c>
      <c r="I304" t="str">
        <v>length/s</v>
      </c>
      <c r="J304">
        <v>0</v>
      </c>
      <c r="K304">
        <v>0</v>
      </c>
      <c r="L304">
        <f>H304*J304</f>
        <v>0</v>
      </c>
      <c r="M304">
        <f>K304+L304</f>
        <v>0</v>
      </c>
      <c r="N304">
        <f>M304/43106674.89</f>
        <v>0</v>
      </c>
      <c r="O304" t="str">
        <v>Ongoing</v>
      </c>
    </row>
    <row r="305">
      <c r="A305" t="str">
        <v/>
      </c>
      <c r="B305" t="str">
        <v>50mm dia. PVC blue uPVC blue pipe PNS 65</v>
      </c>
      <c r="C305" t="str">
        <v>length/s</v>
      </c>
      <c r="D305">
        <v>12</v>
      </c>
      <c r="E305">
        <v>641.8299999999999</v>
      </c>
      <c r="F305">
        <v>7701.959999999999</v>
      </c>
      <c r="G305">
        <v>0.00017867209706278495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>
        <f>H306*J306</f>
        <v>0</v>
      </c>
      <c r="M306">
        <f>K306+L306</f>
        <v>0</v>
      </c>
      <c r="N306">
        <f>M306/43106674.89</f>
        <v>0</v>
      </c>
      <c r="O306" t="str">
        <v/>
      </c>
    </row>
    <row r="307">
      <c r="A307" t="str">
        <v/>
      </c>
      <c r="B307" t="str">
        <v>Condensate Drain Pipes Rubber Insulation 1.5 meters</v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</row>
    <row r="308">
      <c r="A308" t="str">
        <v/>
      </c>
      <c r="B308" t="str">
        <v>3/4'' thick for 32mm pvc</v>
      </c>
      <c r="C308" t="str">
        <v>length/s</v>
      </c>
      <c r="D308">
        <v>66</v>
      </c>
      <c r="E308">
        <v>427.6699999999999</v>
      </c>
      <c r="F308">
        <v>28226.219999999994</v>
      </c>
      <c r="G308">
        <v>0.0006547992873963929</v>
      </c>
      <c r="H308" t="str">
        <v/>
      </c>
      <c r="I308" t="str">
        <v>length/s</v>
      </c>
      <c r="J308">
        <v>0</v>
      </c>
      <c r="K308">
        <v>0</v>
      </c>
      <c r="L308">
        <f>H308*J308</f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3/4'' thick for 50mm pvc</v>
      </c>
      <c r="C309" t="str">
        <v>length/s</v>
      </c>
      <c r="D309">
        <v>23</v>
      </c>
      <c r="E309">
        <v>812.5699999999998</v>
      </c>
      <c r="F309">
        <v>18689.109999999997</v>
      </c>
      <c r="G309">
        <v>0.00043355489718682847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>
        <f>H310*J310</f>
        <v>0</v>
      </c>
      <c r="M310">
        <f>K310+L310</f>
        <v>0</v>
      </c>
      <c r="N310">
        <f>M310/43106674.89</f>
        <v>0</v>
      </c>
      <c r="O310" t="str">
        <v/>
      </c>
    </row>
    <row r="311">
      <c r="A311" t="str">
        <v/>
      </c>
      <c r="B311" t="str">
        <v>Drain Pump</v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</row>
    <row r="312">
      <c r="A312" t="str">
        <v/>
      </c>
      <c r="B312" t="str">
        <v xml:space="preserve"> (5.0m pump Lift) Model: BDU513A450VE</v>
      </c>
      <c r="C312" t="str">
        <v>pcs</v>
      </c>
      <c r="D312">
        <v>11</v>
      </c>
      <c r="E312">
        <v>30473.16</v>
      </c>
      <c r="F312">
        <v>335204.76</v>
      </c>
      <c r="G312">
        <v>0.007776168327883753</v>
      </c>
      <c r="H312" t="str">
        <v/>
      </c>
      <c r="I312" t="str">
        <v>pcs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>
        <f>H313*J313</f>
        <v>0</v>
      </c>
      <c r="M313">
        <f>K313+L313</f>
        <v>0</v>
      </c>
      <c r="N313">
        <f>M313/43106674.89</f>
        <v>0</v>
      </c>
      <c r="O313" t="str">
        <v/>
      </c>
    </row>
    <row r="314">
      <c r="A314" t="str">
        <v/>
      </c>
      <c r="B314" t="str">
        <v>Fittings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>
        <f>H314*J314</f>
        <v>0</v>
      </c>
      <c r="M314">
        <f>K314+L314</f>
        <v>0</v>
      </c>
      <c r="N314">
        <f>M314/43106674.89</f>
        <v>0</v>
      </c>
      <c r="O314" t="str">
        <v/>
      </c>
    </row>
    <row r="315">
      <c r="A315" t="str">
        <v/>
      </c>
      <c r="B315" t="str">
        <v>Wye Reducer 50 x 32</v>
      </c>
      <c r="C315" t="str">
        <v>length/s</v>
      </c>
      <c r="D315">
        <v>7</v>
      </c>
      <c r="E315">
        <v>192.45999999999998</v>
      </c>
      <c r="F315">
        <v>1347.2199999999998</v>
      </c>
      <c r="G315">
        <v>0.000031253164467865996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Tee 32mm</v>
      </c>
      <c r="C316" t="str">
        <v>length/s</v>
      </c>
      <c r="D316">
        <v>6</v>
      </c>
      <c r="E316">
        <v>53.47</v>
      </c>
      <c r="F316">
        <v>320.82</v>
      </c>
      <c r="G316">
        <v>0.000007442466875922841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Elbow 32mm</v>
      </c>
      <c r="C317" t="str">
        <v>length/s</v>
      </c>
      <c r="D317">
        <v>7</v>
      </c>
      <c r="E317">
        <v>43.63</v>
      </c>
      <c r="F317">
        <v>305.41</v>
      </c>
      <c r="G317">
        <v>0.000007084981636355574</v>
      </c>
      <c r="H317" t="str">
        <v/>
      </c>
      <c r="I317" t="str">
        <v>length/s</v>
      </c>
      <c r="J317">
        <v>0</v>
      </c>
      <c r="K317">
        <v>0</v>
      </c>
      <c r="L317">
        <f>H317*J317</f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Cleanout 50mm</v>
      </c>
      <c r="C318" t="str">
        <v>length/s</v>
      </c>
      <c r="D318">
        <v>2</v>
      </c>
      <c r="E318">
        <v>213.84</v>
      </c>
      <c r="F318">
        <v>427.68</v>
      </c>
      <c r="G318">
        <v>0.000009921433306822145</v>
      </c>
      <c r="H318" t="str">
        <v/>
      </c>
      <c r="I318" t="str">
        <v>length/s</v>
      </c>
      <c r="J318">
        <v>0</v>
      </c>
      <c r="K318">
        <v>0</v>
      </c>
      <c r="L318">
        <f>H318*J318</f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/>
      </c>
      <c r="B320" t="str">
        <v>RELATED ELECTRICAL WORKS</v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/>
      </c>
      <c r="B321" t="str">
        <v>Rough-ins</v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>
        <f>H321*J321</f>
        <v>0</v>
      </c>
      <c r="M321">
        <f>K321+L321</f>
        <v>0</v>
      </c>
      <c r="N321">
        <f>M321/43106674.89</f>
        <v>0</v>
      </c>
      <c r="O321" t="str">
        <v/>
      </c>
    </row>
    <row r="322">
      <c r="A322" t="str">
        <v/>
      </c>
      <c r="B322" t="str">
        <v>liquid-tight metallic flexible conduits 1-1/2"</v>
      </c>
      <c r="C322" t="str">
        <v>m</v>
      </c>
      <c r="D322">
        <v>78</v>
      </c>
      <c r="E322">
        <v>404.15</v>
      </c>
      <c r="F322">
        <v>31523.699999999997</v>
      </c>
      <c r="G322">
        <v>0.0007312950971152947</v>
      </c>
      <c r="H322" t="str">
        <v/>
      </c>
      <c r="I322" t="str">
        <v>m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Metallic Flexible Conduit 20mm</v>
      </c>
      <c r="C323" t="str">
        <v>m</v>
      </c>
      <c r="D323">
        <v>444</v>
      </c>
      <c r="E323">
        <v>65.86999999999999</v>
      </c>
      <c r="F323">
        <v>29246.279999999995</v>
      </c>
      <c r="G323">
        <v>0.0006784629079981442</v>
      </c>
      <c r="H323" t="str">
        <v/>
      </c>
      <c r="I323" t="str">
        <v>m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Metallic Flexible Conduit Connector 20mm</v>
      </c>
      <c r="C324" t="str">
        <v>pcs</v>
      </c>
      <c r="D324">
        <v>26</v>
      </c>
      <c r="E324">
        <v>32.09</v>
      </c>
      <c r="F324">
        <v>834.3400000000001</v>
      </c>
      <c r="G324">
        <v>0.000019355239116194327</v>
      </c>
      <c r="H324" t="str">
        <v/>
      </c>
      <c r="I324" t="str">
        <v>pcs</v>
      </c>
      <c r="J324">
        <v>0</v>
      </c>
      <c r="K324">
        <v>0</v>
      </c>
      <c r="L324">
        <f>H324*J324</f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Cables / Wires</v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>
        <f>H325*J325</f>
        <v>0</v>
      </c>
      <c r="M325">
        <f>K325+L325</f>
        <v>0</v>
      </c>
      <c r="N325">
        <f>M325/43106674.89</f>
        <v>0</v>
      </c>
      <c r="O325" t="str">
        <v/>
      </c>
    </row>
    <row r="326">
      <c r="A326" t="str">
        <v/>
      </c>
      <c r="B326" t="str">
        <v>Communication wire (PD Royal Cord 0.75mm/2C)</v>
      </c>
      <c r="C326" t="str">
        <v>m</v>
      </c>
      <c r="D326">
        <v>291</v>
      </c>
      <c r="E326">
        <v>80.84</v>
      </c>
      <c r="F326">
        <v>23524.440000000002</v>
      </c>
      <c r="G326">
        <v>0.00054572615633263</v>
      </c>
      <c r="H326" t="str">
        <v/>
      </c>
      <c r="I326" t="str">
        <v>m</v>
      </c>
      <c r="J326">
        <v>0</v>
      </c>
      <c r="K326">
        <v>0</v>
      </c>
      <c r="L326">
        <f>H326*J326</f>
        <v>0</v>
      </c>
      <c r="M326">
        <f>K326+L326</f>
        <v>0</v>
      </c>
      <c r="N326">
        <f>M326/43106674.89</f>
        <v>0</v>
      </c>
      <c r="O326" t="str">
        <v>Ongoing</v>
      </c>
    </row>
    <row r="327">
      <c r="A327" t="str">
        <v/>
      </c>
      <c r="B327" t="str">
        <v>Wire 3.5mm² THHN (5 meters per Unit)</v>
      </c>
      <c r="C327" t="str">
        <v>m</v>
      </c>
      <c r="D327">
        <v>63</v>
      </c>
      <c r="E327">
        <v>78.49</v>
      </c>
      <c r="F327">
        <v>4944.87</v>
      </c>
      <c r="G327">
        <v>0.00011471239692271236</v>
      </c>
      <c r="H327" t="str">
        <v/>
      </c>
      <c r="I327" t="str">
        <v>m</v>
      </c>
      <c r="J327">
        <v>0</v>
      </c>
      <c r="K327">
        <v>0</v>
      </c>
      <c r="L327">
        <f>H327*J327</f>
        <v>0</v>
      </c>
      <c r="M327">
        <f>K327+L327</f>
        <v>0</v>
      </c>
      <c r="N327">
        <f>M327/43106674.89</f>
        <v>0</v>
      </c>
      <c r="O327" t="str">
        <v>Ongoing</v>
      </c>
    </row>
    <row r="328">
      <c r="A328" t="str">
        <v/>
      </c>
      <c r="B328" t="str">
        <v>Wire 5.5mm² THHN (5 meters per Unit)</v>
      </c>
      <c r="C328" t="str">
        <v>m</v>
      </c>
      <c r="D328">
        <v>26</v>
      </c>
      <c r="E328">
        <v>120.11</v>
      </c>
      <c r="F328">
        <v>3122.86</v>
      </c>
      <c r="G328">
        <v>0.00007244492895749768</v>
      </c>
      <c r="H328" t="str">
        <v/>
      </c>
      <c r="I328" t="str">
        <v>m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Ongoing</v>
      </c>
    </row>
    <row r="329">
      <c r="A329" t="str">
        <v/>
      </c>
      <c r="B329" t="str">
        <v>Wire 30.0mm² THHN (5 meters per Unit)</v>
      </c>
      <c r="C329" t="str">
        <v>m</v>
      </c>
      <c r="D329">
        <v>59</v>
      </c>
      <c r="E329">
        <v>789.47</v>
      </c>
      <c r="F329">
        <v>46578.73</v>
      </c>
      <c r="G329">
        <v>0.0010805456491102597</v>
      </c>
      <c r="H329" t="str">
        <v/>
      </c>
      <c r="I329" t="str">
        <v>m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for ground: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/>
      </c>
      <c r="B331" t="str">
        <v>Wire 3.5mm² THHN (G) (5 meters per Unit)</v>
      </c>
      <c r="C331" t="str">
        <v>m</v>
      </c>
      <c r="D331">
        <v>65</v>
      </c>
      <c r="E331">
        <v>78.49</v>
      </c>
      <c r="F331">
        <v>5101.849999999999</v>
      </c>
      <c r="G331">
        <v>0.00011835406031708417</v>
      </c>
      <c r="H331" t="str">
        <v/>
      </c>
      <c r="I331" t="str">
        <v>m</v>
      </c>
      <c r="J331">
        <v>0</v>
      </c>
      <c r="K331">
        <v>0</v>
      </c>
      <c r="L331">
        <f>H331*J331</f>
        <v>0</v>
      </c>
      <c r="M331">
        <f>K331+L331</f>
        <v>0</v>
      </c>
      <c r="N331">
        <f>M331/43106674.89</f>
        <v>0</v>
      </c>
      <c r="O331" t="str">
        <v>Ongoing</v>
      </c>
    </row>
    <row r="332">
      <c r="A332" t="str">
        <v/>
      </c>
      <c r="B332" t="str">
        <v>Wire 8.0mm² THHN (G) (5 meters per Unit)</v>
      </c>
      <c r="C332" t="str">
        <v>m</v>
      </c>
      <c r="D332">
        <v>20</v>
      </c>
      <c r="E332">
        <v>187.88</v>
      </c>
      <c r="F332">
        <v>3757.6</v>
      </c>
      <c r="G332">
        <v>0.00008716979469162666</v>
      </c>
      <c r="H332" t="str">
        <v/>
      </c>
      <c r="I332" t="str">
        <v>m</v>
      </c>
      <c r="J332">
        <v>0</v>
      </c>
      <c r="K332">
        <v>0</v>
      </c>
      <c r="L332">
        <f>H332*J332</f>
        <v>0</v>
      </c>
      <c r="M332">
        <f>K332+L332</f>
        <v>0</v>
      </c>
      <c r="N332">
        <f>M332/43106674.89</f>
        <v>0</v>
      </c>
      <c r="O332" t="str">
        <v>Ongoing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>
        <f>H333*J333</f>
        <v>0</v>
      </c>
      <c r="M333">
        <f>K333+L333</f>
        <v>0</v>
      </c>
      <c r="N333">
        <f>M333/43106674.89</f>
        <v>0</v>
      </c>
      <c r="O333" t="str">
        <v/>
      </c>
    </row>
    <row r="334">
      <c r="A334" t="str">
        <v>III.B</v>
      </c>
      <c r="B334" t="str">
        <v>CONSUMABLES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>Vibration Isolator</v>
      </c>
      <c r="C335" t="str">
        <v>pcs</v>
      </c>
      <c r="D335">
        <v>20</v>
      </c>
      <c r="E335">
        <v>1389.91</v>
      </c>
      <c r="F335">
        <v>27798.2</v>
      </c>
      <c r="G335">
        <v>0.0006448699666800023</v>
      </c>
      <c r="H335" t="str">
        <v/>
      </c>
      <c r="I335" t="str">
        <v>pcs</v>
      </c>
      <c r="J335">
        <v>0</v>
      </c>
      <c r="K335">
        <v>0</v>
      </c>
      <c r="L335">
        <f>H335*J335</f>
        <v>0</v>
      </c>
      <c r="M335">
        <f>K335+L335</f>
        <v>0</v>
      </c>
      <c r="N335">
        <f>M335/43106674.89</f>
        <v>0</v>
      </c>
      <c r="O335" t="str">
        <v>Ongoing</v>
      </c>
    </row>
    <row r="336">
      <c r="A336" t="str">
        <v/>
      </c>
      <c r="B336" t="str">
        <v>Angle Bar, 2x2x 1/4 (6 meters)</v>
      </c>
      <c r="C336" t="str">
        <v>length/s</v>
      </c>
      <c r="D336">
        <v>7</v>
      </c>
      <c r="E336">
        <v>2523.2200000000003</v>
      </c>
      <c r="F336">
        <v>17662.54</v>
      </c>
      <c r="G336">
        <v>0.00040974025589010106</v>
      </c>
      <c r="H336" t="str">
        <v/>
      </c>
      <c r="I336" t="str">
        <v>length/s</v>
      </c>
      <c r="J336">
        <v>0</v>
      </c>
      <c r="K336">
        <v>0</v>
      </c>
      <c r="L336">
        <f>H336*J336</f>
        <v>0</v>
      </c>
      <c r="M336">
        <f>K336+L336</f>
        <v>0</v>
      </c>
      <c r="N336">
        <f>M336/43106674.89</f>
        <v>0</v>
      </c>
      <c r="O336" t="str">
        <v>Ongoing</v>
      </c>
    </row>
    <row r="337">
      <c r="A337" t="str">
        <v/>
      </c>
      <c r="B337" t="str">
        <v>Rugby</v>
      </c>
      <c r="C337" t="str">
        <v>bottle</v>
      </c>
      <c r="D337">
        <v>15</v>
      </c>
      <c r="E337">
        <v>277.99</v>
      </c>
      <c r="F337">
        <v>4169.85</v>
      </c>
      <c r="G337">
        <v>0.00009673327879361281</v>
      </c>
      <c r="H337" t="str">
        <v/>
      </c>
      <c r="I337" t="str">
        <v>bottle</v>
      </c>
      <c r="J337">
        <v>0</v>
      </c>
      <c r="K337">
        <v>0</v>
      </c>
      <c r="L337">
        <f>H337*J337</f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White Tape</v>
      </c>
      <c r="C338" t="str">
        <v>rolls</v>
      </c>
      <c r="D338">
        <v>30</v>
      </c>
      <c r="E338">
        <v>374.21999999999997</v>
      </c>
      <c r="F338">
        <v>11226.599999999999</v>
      </c>
      <c r="G338">
        <v>0.0002604376243040813</v>
      </c>
      <c r="H338" t="str">
        <v/>
      </c>
      <c r="I338" t="str">
        <v>rolls</v>
      </c>
      <c r="J338">
        <v>0</v>
      </c>
      <c r="K338">
        <v>0</v>
      </c>
      <c r="L338">
        <f>H338*J338</f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Threaded rod 3/8 (6 meters)</v>
      </c>
      <c r="C339" t="str">
        <v>length/s</v>
      </c>
      <c r="D339">
        <v>65</v>
      </c>
      <c r="E339">
        <v>171.07</v>
      </c>
      <c r="F339">
        <v>11119.55</v>
      </c>
      <c r="G339">
        <v>0.00025795425020312896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Nuts and washer 3/8</v>
      </c>
      <c r="C340" t="str">
        <v>pcs</v>
      </c>
      <c r="D340">
        <v>32</v>
      </c>
      <c r="E340">
        <v>21.39</v>
      </c>
      <c r="F340">
        <v>684.48</v>
      </c>
      <c r="G340">
        <v>0.000015878747357495374</v>
      </c>
      <c r="H340" t="str">
        <v/>
      </c>
      <c r="I340" t="str">
        <v>pcs</v>
      </c>
      <c r="J340">
        <v>0</v>
      </c>
      <c r="K340">
        <v>0</v>
      </c>
      <c r="L340">
        <f>H340*J340</f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Grip Anchor 3/8</v>
      </c>
      <c r="C341" t="str">
        <v>pcs</v>
      </c>
      <c r="D341">
        <v>32</v>
      </c>
      <c r="E341">
        <v>10.699999999999998</v>
      </c>
      <c r="F341">
        <v>342.3999999999999</v>
      </c>
      <c r="G341">
        <v>0.000007943085400897639</v>
      </c>
      <c r="H341" t="str">
        <v/>
      </c>
      <c r="I341" t="str">
        <v>pcs</v>
      </c>
      <c r="J341">
        <v>0</v>
      </c>
      <c r="K341">
        <v>0</v>
      </c>
      <c r="L341">
        <f>H341*J341</f>
        <v>0</v>
      </c>
      <c r="M341">
        <f>K341+L341</f>
        <v>0</v>
      </c>
      <c r="N341">
        <f>M341/43106674.89</f>
        <v>0</v>
      </c>
      <c r="O341" t="str">
        <v>Ongoing</v>
      </c>
    </row>
    <row r="342">
      <c r="A342" t="str">
        <v/>
      </c>
      <c r="B342" t="str">
        <v>Paint (Red Oxide)</v>
      </c>
      <c r="C342" t="str">
        <v>gallon</v>
      </c>
      <c r="D342">
        <v>1</v>
      </c>
      <c r="E342">
        <v>3432</v>
      </c>
      <c r="F342">
        <v>3432</v>
      </c>
      <c r="G342">
        <v>0.000079616440116474</v>
      </c>
      <c r="H342" t="str">
        <v/>
      </c>
      <c r="I342" t="str">
        <v>gallon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Loop Hangers</v>
      </c>
      <c r="C343" t="str">
        <v>pcs</v>
      </c>
      <c r="D343">
        <v>244</v>
      </c>
      <c r="E343">
        <v>42.780000000000015</v>
      </c>
      <c r="F343">
        <v>10438.320000000003</v>
      </c>
      <c r="G343">
        <v>0.00024215089720180455</v>
      </c>
      <c r="H343" t="str">
        <v/>
      </c>
      <c r="I343" t="str">
        <v>pcs</v>
      </c>
      <c r="J343">
        <v>0</v>
      </c>
      <c r="K343">
        <v>0</v>
      </c>
      <c r="L343">
        <v>0</v>
      </c>
      <c r="M343">
        <v>0</v>
      </c>
      <c r="N343">
        <v>0</v>
      </c>
      <c r="O343" t="str">
        <v>Ongoing</v>
      </c>
    </row>
    <row r="344">
      <c r="A344" t="str">
        <v/>
      </c>
      <c r="B344" t="str">
        <v>Freon</v>
      </c>
      <c r="C344" t="str">
        <v>tank</v>
      </c>
      <c r="D344">
        <v>5</v>
      </c>
      <c r="E344">
        <v>14497.769999999999</v>
      </c>
      <c r="F344">
        <v>72488.84999999999</v>
      </c>
      <c r="G344">
        <v>0.0016816154385597513</v>
      </c>
      <c r="H344" t="str">
        <v/>
      </c>
      <c r="I344" t="str">
        <v>tank</v>
      </c>
      <c r="J344">
        <v>0</v>
      </c>
      <c r="K344">
        <v>0</v>
      </c>
      <c r="L344">
        <f>H344*J344</f>
        <v>0</v>
      </c>
      <c r="M344">
        <f>K344+L344</f>
        <v>0</v>
      </c>
      <c r="N344">
        <f>M344/43106674.89</f>
        <v>0</v>
      </c>
      <c r="O344" t="str">
        <v>Ongoing</v>
      </c>
    </row>
    <row r="345">
      <c r="A345" t="str">
        <v/>
      </c>
      <c r="B345" t="str">
        <v>Nitrogen</v>
      </c>
      <c r="C345" t="str">
        <v>tank</v>
      </c>
      <c r="D345">
        <v>3</v>
      </c>
      <c r="E345">
        <v>18175.66</v>
      </c>
      <c r="F345">
        <v>54526.979999999996</v>
      </c>
      <c r="G345">
        <v>0.001264931246474993</v>
      </c>
      <c r="H345" t="str">
        <v/>
      </c>
      <c r="I345" t="str">
        <v>tank</v>
      </c>
      <c r="J345">
        <v>0</v>
      </c>
      <c r="K345">
        <v>0</v>
      </c>
      <c r="L345">
        <f>H345*J345</f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Mapp Gas</v>
      </c>
      <c r="C346" t="str">
        <v>tank</v>
      </c>
      <c r="D346">
        <v>8</v>
      </c>
      <c r="E346">
        <v>812.5699999999999</v>
      </c>
      <c r="F346">
        <v>6500.5599999999995</v>
      </c>
      <c r="G346">
        <v>0.00015080170336933166</v>
      </c>
      <c r="H346" t="str">
        <v/>
      </c>
      <c r="I346" t="str">
        <v>tank</v>
      </c>
      <c r="J346">
        <v>0</v>
      </c>
      <c r="K346">
        <v>0</v>
      </c>
      <c r="L346">
        <f>H346*J346</f>
        <v>0</v>
      </c>
      <c r="M346">
        <f>K346+L346</f>
        <v>0</v>
      </c>
      <c r="N346">
        <f>M346/43106674.89</f>
        <v>0</v>
      </c>
      <c r="O346" t="str">
        <v>Ongoing</v>
      </c>
    </row>
    <row r="347">
      <c r="A347" t="str">
        <v/>
      </c>
      <c r="B347" t="str">
        <v>Silver Rod</v>
      </c>
      <c r="C347" t="str">
        <v>pcs</v>
      </c>
      <c r="D347">
        <v>98</v>
      </c>
      <c r="E347">
        <v>53.46999999999999</v>
      </c>
      <c r="F347">
        <v>5240.0599999999995</v>
      </c>
      <c r="G347">
        <v>0.00012156029230673973</v>
      </c>
      <c r="H347" t="str">
        <v/>
      </c>
      <c r="I347" t="str">
        <v>pcs</v>
      </c>
      <c r="J347">
        <v>0</v>
      </c>
      <c r="K347">
        <v>0</v>
      </c>
      <c r="L347">
        <f>H347*J347</f>
        <v>0</v>
      </c>
      <c r="M347">
        <f>K347+L347</f>
        <v>0</v>
      </c>
      <c r="N347">
        <f>M347/43106674.89</f>
        <v>0</v>
      </c>
      <c r="O347" t="str">
        <v>Ongoing</v>
      </c>
    </row>
    <row r="348">
      <c r="A348" t="str">
        <v/>
      </c>
      <c r="B348" t="str">
        <v>Paint Brush</v>
      </c>
      <c r="C348" t="str">
        <v>pcs</v>
      </c>
      <c r="D348">
        <v>1</v>
      </c>
      <c r="E348">
        <v>213.84</v>
      </c>
      <c r="F348">
        <v>213.84</v>
      </c>
      <c r="G348">
        <v>0.000004960716653411073</v>
      </c>
      <c r="H348" t="str">
        <v/>
      </c>
      <c r="I348" t="str">
        <v>pcs</v>
      </c>
      <c r="J348">
        <v>0</v>
      </c>
      <c r="K348">
        <v>0</v>
      </c>
      <c r="L348">
        <f>H348*J348</f>
        <v>0</v>
      </c>
      <c r="M348">
        <f>K348+L348</f>
        <v>0</v>
      </c>
      <c r="N348">
        <f>M348/43106674.89</f>
        <v>0</v>
      </c>
      <c r="O348" t="str">
        <v>Ongoing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>
        <f>H349*J349</f>
        <v>0</v>
      </c>
      <c r="M349">
        <f>K349+L349</f>
        <v>0</v>
      </c>
      <c r="N349">
        <f>M349/43106674.89</f>
        <v>0</v>
      </c>
      <c r="O349" t="str">
        <v/>
      </c>
    </row>
    <row r="350">
      <c r="A350" t="str">
        <v>III.C</v>
      </c>
      <c r="B350" t="str">
        <v>CHIPPING &amp; RESTORATION (ROUGH-ONLY)</v>
      </c>
      <c r="C350" t="str">
        <v>lot</v>
      </c>
      <c r="D350">
        <v>1</v>
      </c>
      <c r="E350">
        <v>737348.8400000002</v>
      </c>
      <c r="F350">
        <v>737348.8400000002</v>
      </c>
      <c r="G350">
        <v>0.017105212635434613</v>
      </c>
      <c r="H350">
        <v>1</v>
      </c>
      <c r="I350" t="str">
        <v>lot</v>
      </c>
      <c r="J350" t="str">
        <v/>
      </c>
      <c r="K350">
        <v>0</v>
      </c>
      <c r="L350">
        <f>H350*J350</f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>
        <f>H351*J351</f>
        <v>0</v>
      </c>
      <c r="M351">
        <f>K351+L351</f>
        <v>0</v>
      </c>
      <c r="N351">
        <f>M351/43106674.89</f>
        <v>0</v>
      </c>
      <c r="O351" t="str">
        <v/>
      </c>
    </row>
    <row r="352">
      <c r="A352" t="str">
        <v>III.D</v>
      </c>
      <c r="B352" t="str">
        <v>MISCELLANEOUS</v>
      </c>
      <c r="C352" t="str">
        <v>lot</v>
      </c>
      <c r="D352">
        <v>1</v>
      </c>
      <c r="E352">
        <v>5010.49</v>
      </c>
      <c r="F352">
        <v>5010.49</v>
      </c>
      <c r="G352">
        <v>0.00011623466696946148</v>
      </c>
      <c r="H352">
        <v>1</v>
      </c>
      <c r="I352" t="str">
        <v>lot</v>
      </c>
      <c r="J352" t="str">
        <v/>
      </c>
      <c r="K352">
        <v>0</v>
      </c>
      <c r="L352">
        <f>H352*J352</f>
        <v>0</v>
      </c>
      <c r="M352">
        <f>K352+L352</f>
        <v>0</v>
      </c>
      <c r="N352">
        <f>M352/43106674.89</f>
        <v>0</v>
      </c>
      <c r="O352" t="str">
        <v>Ongoing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>
        <f>H353*J353</f>
        <v>0</v>
      </c>
      <c r="M353">
        <f>K353+L353</f>
        <v>0</v>
      </c>
      <c r="N353">
        <f>M353/43106674.89</f>
        <v>0</v>
      </c>
      <c r="O353" t="str">
        <v/>
      </c>
    </row>
    <row r="354">
      <c r="A354" t="str">
        <v>III.E</v>
      </c>
      <c r="B354" t="str">
        <v>TESTING &amp; COMMISSIONING</v>
      </c>
      <c r="C354" t="str">
        <v>lot</v>
      </c>
      <c r="D354">
        <v>1</v>
      </c>
      <c r="E354">
        <v>38342.14</v>
      </c>
      <c r="F354">
        <v>38342.14</v>
      </c>
      <c r="G354">
        <v>0.0008894710644660439</v>
      </c>
      <c r="H354">
        <v>1</v>
      </c>
      <c r="I354" t="str">
        <v>lot</v>
      </c>
      <c r="J354" t="str">
        <v/>
      </c>
      <c r="K354">
        <v>0</v>
      </c>
      <c r="L354">
        <f>H354*J354</f>
        <v>0</v>
      </c>
      <c r="M354">
        <f>K354+L354</f>
        <v>0</v>
      </c>
      <c r="N354">
        <f>M354/43106674.89</f>
        <v>0</v>
      </c>
      <c r="O354" t="str">
        <v>Ongoing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>
        <f>H355*J355</f>
        <v>0</v>
      </c>
      <c r="M355">
        <f>K355+L355</f>
        <v>0</v>
      </c>
      <c r="N355">
        <f>M355/43106674.89</f>
        <v>0</v>
      </c>
      <c r="O355" t="str">
        <v/>
      </c>
    </row>
    <row r="356">
      <c r="A356" t="str">
        <v>IV.A</v>
      </c>
      <c r="B356" t="str">
        <v>AIR CONDITIONING- VRV SYSTEM D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>
        <f>H356*J356</f>
        <v>0</v>
      </c>
      <c r="M356">
        <f>K356+L356</f>
        <v>0</v>
      </c>
      <c r="N356">
        <f>M356/43106674.89</f>
        <v>0</v>
      </c>
      <c r="O356" t="str">
        <v/>
      </c>
    </row>
    <row r="357">
      <c r="A357" t="str">
        <v/>
      </c>
      <c r="B357" t="str">
        <v>ACCU- Model: RXQ20BYM</v>
      </c>
      <c r="C357" t="str">
        <v>units</v>
      </c>
      <c r="D357">
        <v>3</v>
      </c>
      <c r="E357">
        <v>789317.19</v>
      </c>
      <c r="F357">
        <v>2367951.57</v>
      </c>
      <c r="G357">
        <v>0.054932364327393825</v>
      </c>
      <c r="H357" t="str">
        <v/>
      </c>
      <c r="I357" t="str">
        <v>units</v>
      </c>
      <c r="J357">
        <v>0</v>
      </c>
      <c r="K357">
        <v>0</v>
      </c>
      <c r="L357">
        <f>H357*J357</f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FCU- 2 HP Wall Mounted VRF C (Storage Room, OR No. 8 Ortho, NSS/Pay, OR No. 9 Plastic Surgery (2) ) Model: FXAQ50BVM</v>
      </c>
      <c r="C358" t="str">
        <v>units</v>
      </c>
      <c r="D358">
        <v>6</v>
      </c>
      <c r="E358">
        <v>55087.33999999999</v>
      </c>
      <c r="F358">
        <v>330524.0399999999</v>
      </c>
      <c r="G358">
        <v>0.007667583752247976</v>
      </c>
      <c r="H358" t="str">
        <v/>
      </c>
      <c r="I358" t="str">
        <v>units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FCU- 2.5HP Wall Mounted VRF C (OR No. 4,  Euro- Endo (2), OR No. 7 Ortho, OR. 12 Pedia,  OR No. 10 Pay) Model: FXAQ63BVM</v>
      </c>
      <c r="C359" t="str">
        <v>units</v>
      </c>
      <c r="D359">
        <v>4</v>
      </c>
      <c r="E359">
        <v>56222.86</v>
      </c>
      <c r="F359">
        <v>224891.44</v>
      </c>
      <c r="G359">
        <v>0.0052170908698914945</v>
      </c>
      <c r="H359" t="str">
        <v/>
      </c>
      <c r="I359" t="str">
        <v>units</v>
      </c>
      <c r="J359">
        <v>0</v>
      </c>
      <c r="K359">
        <v>0</v>
      </c>
      <c r="L359">
        <f>H359*J359</f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FCU- 6HP ceiling Cassette VRF C (Corridor near Ortho, Corridor near OR. No. 10, Corridor near NSS/Pay) Model: FXFQ140AVM</v>
      </c>
      <c r="C360" t="str">
        <v>units</v>
      </c>
      <c r="D360">
        <v>2</v>
      </c>
      <c r="E360">
        <v>87530.69</v>
      </c>
      <c r="F360">
        <v>175061.38</v>
      </c>
      <c r="G360">
        <v>0.004061120010919959</v>
      </c>
      <c r="H360" t="str">
        <v/>
      </c>
      <c r="I360" t="str">
        <v>units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>
        <f>H361*J361</f>
        <v>0</v>
      </c>
      <c r="M361">
        <f>K361+L361</f>
        <v>0</v>
      </c>
      <c r="N361">
        <f>M361/43106674.89</f>
        <v>0</v>
      </c>
      <c r="O361" t="str">
        <v/>
      </c>
    </row>
    <row r="362">
      <c r="A362" t="str">
        <v/>
      </c>
      <c r="B362" t="str">
        <v>Accessories:</v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</row>
    <row r="363">
      <c r="A363" t="str">
        <v/>
      </c>
      <c r="B363" t="str">
        <v>Wired Remote Controller Model: BRC1E63</v>
      </c>
      <c r="C363" t="str">
        <v>units</v>
      </c>
      <c r="D363">
        <v>12</v>
      </c>
      <c r="E363">
        <v>11760.720000000001</v>
      </c>
      <c r="F363">
        <v>141128.64</v>
      </c>
      <c r="G363">
        <v>0.00327393936925391</v>
      </c>
      <c r="H363" t="str">
        <v/>
      </c>
      <c r="I363" t="str">
        <v>units</v>
      </c>
      <c r="J363">
        <v>0</v>
      </c>
      <c r="K363">
        <v>0</v>
      </c>
      <c r="L363">
        <f>H363*J363</f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Standard panel(Fresh white) Model: BYCQ125EAF</v>
      </c>
      <c r="C364" t="str">
        <v>units</v>
      </c>
      <c r="D364">
        <v>2</v>
      </c>
      <c r="E364">
        <v>22345.370000000003</v>
      </c>
      <c r="F364">
        <v>44690.740000000005</v>
      </c>
      <c r="G364">
        <v>0.0010367475597234585</v>
      </c>
      <c r="H364" t="str">
        <v/>
      </c>
      <c r="I364" t="str">
        <v>units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Refnet Joints Model: KHRP26A22T</v>
      </c>
      <c r="C365" t="str">
        <v>units</v>
      </c>
      <c r="D365">
        <v>4</v>
      </c>
      <c r="E365">
        <v>4351.47</v>
      </c>
      <c r="F365">
        <v>17405.88</v>
      </c>
      <c r="G365">
        <v>0.00040378618959630903</v>
      </c>
      <c r="H365" t="str">
        <v/>
      </c>
      <c r="I365" t="str">
        <v>units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Refnet Joints Model: KHRP26A33T</v>
      </c>
      <c r="C366" t="str">
        <v>units</v>
      </c>
      <c r="D366">
        <v>1</v>
      </c>
      <c r="E366">
        <v>4939.510000000001</v>
      </c>
      <c r="F366">
        <v>4939.510000000001</v>
      </c>
      <c r="G366">
        <v>0.00011458805423068899</v>
      </c>
      <c r="H366" t="str">
        <v/>
      </c>
      <c r="I366" t="str">
        <v>units</v>
      </c>
      <c r="J366">
        <v>0</v>
      </c>
      <c r="K366">
        <v>0</v>
      </c>
      <c r="L366">
        <f>H366*J366</f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Refnet Joints Model: KHRP26A72T</v>
      </c>
      <c r="C367" t="str">
        <v>units</v>
      </c>
      <c r="D367">
        <v>3</v>
      </c>
      <c r="E367">
        <v>8232.51</v>
      </c>
      <c r="F367">
        <v>24697.53</v>
      </c>
      <c r="G367">
        <v>0.0005729398071881761</v>
      </c>
      <c r="H367" t="str">
        <v/>
      </c>
      <c r="I367" t="str">
        <v>units</v>
      </c>
      <c r="J367">
        <v>0</v>
      </c>
      <c r="K367">
        <v>0</v>
      </c>
      <c r="L367">
        <f>H367*J367</f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 xml:space="preserve">Refnet Joints Model: KHRP26A73T </v>
      </c>
      <c r="C368" t="str">
        <v>units</v>
      </c>
      <c r="D368">
        <v>3</v>
      </c>
      <c r="E368">
        <v>14112.87</v>
      </c>
      <c r="F368">
        <v>42338.61</v>
      </c>
      <c r="G368">
        <v>0.0009821822283449149</v>
      </c>
      <c r="H368" t="str">
        <v/>
      </c>
      <c r="I368" t="str">
        <v>units</v>
      </c>
      <c r="J368">
        <v>0</v>
      </c>
      <c r="K368">
        <v>0</v>
      </c>
      <c r="L368">
        <f>H368*J368</f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/>
      </c>
      <c r="B369" t="str">
        <v>Pipe Size Reducer Model: KHRP26M73TP</v>
      </c>
      <c r="C369" t="str">
        <v>units</v>
      </c>
      <c r="D369">
        <v>3</v>
      </c>
      <c r="E369">
        <v>5997.970000000001</v>
      </c>
      <c r="F369">
        <v>17993.910000000003</v>
      </c>
      <c r="G369">
        <v>0.00041742746444528643</v>
      </c>
      <c r="H369" t="str">
        <v/>
      </c>
      <c r="I369" t="str">
        <v>units</v>
      </c>
      <c r="J369">
        <v>0</v>
      </c>
      <c r="K369">
        <v>0</v>
      </c>
      <c r="L369">
        <f>H369*J369</f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/>
      </c>
      <c r="B370" t="str">
        <v>VRV Multi Con piping kit Model: BHFP22R168-7</v>
      </c>
      <c r="C370" t="str">
        <v>units</v>
      </c>
      <c r="D370">
        <v>1</v>
      </c>
      <c r="E370">
        <v>39751.22</v>
      </c>
      <c r="F370">
        <v>39751.22</v>
      </c>
      <c r="G370">
        <v>0.0009221592735101353</v>
      </c>
      <c r="H370" t="str">
        <v/>
      </c>
      <c r="I370" t="str">
        <v>units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</row>
    <row r="372">
      <c r="A372" t="str">
        <v/>
      </c>
      <c r="B372" t="str">
        <v xml:space="preserve">Copper Pipes - Type L Hard Drawn Pipes </v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>
        <f>H372*J372</f>
        <v>0</v>
      </c>
      <c r="M372">
        <f>K372+L372</f>
        <v>0</v>
      </c>
      <c r="N372">
        <f>M372/43106674.89</f>
        <v>0</v>
      </c>
      <c r="O372" t="str">
        <v/>
      </c>
    </row>
    <row r="373">
      <c r="A373" t="str">
        <v/>
      </c>
      <c r="B373" t="str">
        <v>1/4"</v>
      </c>
      <c r="C373" t="str">
        <v>length/s</v>
      </c>
      <c r="D373">
        <v>8</v>
      </c>
      <c r="E373">
        <v>2120.33</v>
      </c>
      <c r="F373">
        <v>16962.64</v>
      </c>
      <c r="G373">
        <v>0.00039350379131040405</v>
      </c>
      <c r="H373" t="str">
        <v/>
      </c>
      <c r="I373" t="str">
        <v>length/s</v>
      </c>
      <c r="J373">
        <v>0</v>
      </c>
      <c r="K373">
        <v>0</v>
      </c>
      <c r="L373">
        <f>H373*J373</f>
        <v>0</v>
      </c>
      <c r="M373">
        <f>K373+L373</f>
        <v>0</v>
      </c>
      <c r="N373">
        <f>M373/43106674.89</f>
        <v>0</v>
      </c>
      <c r="O373" t="str">
        <v>Ongoing</v>
      </c>
    </row>
    <row r="374">
      <c r="A374" t="str">
        <v/>
      </c>
      <c r="B374" t="str">
        <v>3/8"</v>
      </c>
      <c r="C374" t="str">
        <v>length/s</v>
      </c>
      <c r="D374">
        <v>12</v>
      </c>
      <c r="E374">
        <v>2952.3500000000004</v>
      </c>
      <c r="F374">
        <v>35428.200000000004</v>
      </c>
      <c r="G374">
        <v>0.0008218727167058463</v>
      </c>
      <c r="H374" t="str">
        <v/>
      </c>
      <c r="I374" t="str">
        <v>length/s</v>
      </c>
      <c r="J374">
        <v>0</v>
      </c>
      <c r="K374">
        <v>0</v>
      </c>
      <c r="L374">
        <f>H374*J374</f>
        <v>0</v>
      </c>
      <c r="M374">
        <f>K374+L374</f>
        <v>0</v>
      </c>
      <c r="N374">
        <f>M374/43106674.89</f>
        <v>0</v>
      </c>
      <c r="O374" t="str">
        <v>Ongoing</v>
      </c>
    </row>
    <row r="375">
      <c r="A375" t="str">
        <v/>
      </c>
      <c r="B375" t="str">
        <v>1/2"</v>
      </c>
      <c r="C375" t="str">
        <v>length/s</v>
      </c>
      <c r="D375">
        <v>10</v>
      </c>
      <c r="E375">
        <v>4696.92</v>
      </c>
      <c r="F375">
        <v>46969.2</v>
      </c>
      <c r="G375">
        <v>0.0010896038750345836</v>
      </c>
      <c r="H375" t="str">
        <v/>
      </c>
      <c r="I375" t="str">
        <v>length/s</v>
      </c>
      <c r="J375">
        <v>0</v>
      </c>
      <c r="K375">
        <v>0</v>
      </c>
      <c r="L375">
        <f>H375*J375</f>
        <v>0</v>
      </c>
      <c r="M375">
        <f>K375+L375</f>
        <v>0</v>
      </c>
      <c r="N375">
        <f>M375/43106674.89</f>
        <v>0</v>
      </c>
      <c r="O375" t="str">
        <v>Ongoing</v>
      </c>
    </row>
    <row r="376">
      <c r="A376" t="str">
        <v/>
      </c>
      <c r="B376" t="str">
        <v>5/8"</v>
      </c>
      <c r="C376" t="str">
        <v>length/s</v>
      </c>
      <c r="D376">
        <v>14</v>
      </c>
      <c r="E376">
        <v>6775.950000000002</v>
      </c>
      <c r="F376">
        <v>94863.30000000002</v>
      </c>
      <c r="G376">
        <v>0.002200663823922235</v>
      </c>
      <c r="H376" t="str">
        <v/>
      </c>
      <c r="I376" t="str">
        <v>length/s</v>
      </c>
      <c r="J376">
        <v>0</v>
      </c>
      <c r="K376">
        <v>0</v>
      </c>
      <c r="L376">
        <f>H376*J376</f>
        <v>0</v>
      </c>
      <c r="M376">
        <f>K376+L376</f>
        <v>0</v>
      </c>
      <c r="N376">
        <f>M376/43106674.89</f>
        <v>0</v>
      </c>
      <c r="O376" t="str">
        <v>Ongoing</v>
      </c>
    </row>
    <row r="377">
      <c r="A377" t="str">
        <v/>
      </c>
      <c r="B377" t="str">
        <v>3/4"</v>
      </c>
      <c r="C377" t="str">
        <v>length/s</v>
      </c>
      <c r="D377">
        <v>16</v>
      </c>
      <c r="E377">
        <v>8642.33</v>
      </c>
      <c r="F377">
        <v>138277.28</v>
      </c>
      <c r="G377">
        <v>0.0032077927688196122</v>
      </c>
      <c r="H377" t="str">
        <v/>
      </c>
      <c r="I377" t="str">
        <v>length/s</v>
      </c>
      <c r="J377">
        <v>0</v>
      </c>
      <c r="K377">
        <v>0</v>
      </c>
      <c r="L377">
        <f>H377*J377</f>
        <v>0</v>
      </c>
      <c r="M377">
        <f>K377+L377</f>
        <v>0</v>
      </c>
      <c r="N377">
        <f>M377/43106674.89</f>
        <v>0</v>
      </c>
      <c r="O377" t="str">
        <v>Ongoing</v>
      </c>
    </row>
    <row r="378">
      <c r="A378" t="str">
        <v/>
      </c>
      <c r="B378" t="str">
        <v>7/8"</v>
      </c>
      <c r="C378" t="str">
        <v>length/s</v>
      </c>
      <c r="D378">
        <v>2</v>
      </c>
      <c r="E378">
        <v>10870.01</v>
      </c>
      <c r="F378">
        <v>21740.02</v>
      </c>
      <c r="G378">
        <v>0.0005043307110900196</v>
      </c>
      <c r="H378" t="str">
        <v/>
      </c>
      <c r="I378" t="str">
        <v>length/s</v>
      </c>
      <c r="J378">
        <v>0</v>
      </c>
      <c r="K378">
        <v>0</v>
      </c>
      <c r="L378">
        <f>H378*J378</f>
        <v>0</v>
      </c>
      <c r="M378">
        <f>K378+L378</f>
        <v>0</v>
      </c>
      <c r="N378">
        <f>M378/43106674.89</f>
        <v>0</v>
      </c>
      <c r="O378" t="str">
        <v>Ongoing</v>
      </c>
    </row>
    <row r="379">
      <c r="A379" t="str">
        <v/>
      </c>
      <c r="B379" t="str">
        <v>1-1/8"</v>
      </c>
      <c r="C379" t="str">
        <v>length/s</v>
      </c>
      <c r="D379">
        <v>5</v>
      </c>
      <c r="E379">
        <v>15566.920000000002</v>
      </c>
      <c r="F379">
        <v>77834.6</v>
      </c>
      <c r="G379">
        <v>0.0018056275553291693</v>
      </c>
      <c r="H379" t="str">
        <v/>
      </c>
      <c r="I379" t="str">
        <v>length/s</v>
      </c>
      <c r="J379">
        <v>0</v>
      </c>
      <c r="K379">
        <v>0</v>
      </c>
      <c r="L379">
        <f>H379*J379</f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1-3/8"</v>
      </c>
      <c r="C380" t="str">
        <v>length/s</v>
      </c>
      <c r="D380">
        <v>2</v>
      </c>
      <c r="E380">
        <v>21015.33</v>
      </c>
      <c r="F380">
        <v>42030.66</v>
      </c>
      <c r="G380">
        <v>0.0009750383231194287</v>
      </c>
      <c r="H380" t="str">
        <v/>
      </c>
      <c r="I380" t="str">
        <v>length/s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1-5/8"</v>
      </c>
      <c r="C381" t="str">
        <v>length/s</v>
      </c>
      <c r="D381">
        <v>14</v>
      </c>
      <c r="E381">
        <v>27039.769999999997</v>
      </c>
      <c r="F381">
        <v>378556.77999999997</v>
      </c>
      <c r="G381">
        <v>0.008781859908378561</v>
      </c>
      <c r="H381" t="str">
        <v/>
      </c>
      <c r="I381" t="str">
        <v>length/s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>
        <f>H382*J382</f>
        <v>0</v>
      </c>
      <c r="M382">
        <f>K382+L382</f>
        <v>0</v>
      </c>
      <c r="N382">
        <f>M382/43106674.89</f>
        <v>0</v>
      </c>
      <c r="O382" t="str">
        <v/>
      </c>
    </row>
    <row r="383">
      <c r="A383" t="str">
        <v/>
      </c>
      <c r="B383" t="str">
        <v xml:space="preserve">Copper Pipes Insulation 25mm Thick </v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>
        <f>H383*J383</f>
        <v>0</v>
      </c>
      <c r="M383">
        <f>K383+L383</f>
        <v>0</v>
      </c>
      <c r="N383">
        <f>M383/43106674.89</f>
        <v>0</v>
      </c>
      <c r="O383" t="str">
        <v/>
      </c>
    </row>
    <row r="384">
      <c r="A384" t="str">
        <v/>
      </c>
      <c r="B384" t="str">
        <v>1/4"</v>
      </c>
      <c r="C384" t="str">
        <v>length/s</v>
      </c>
      <c r="D384">
        <v>16</v>
      </c>
      <c r="E384">
        <v>433.56999999999994</v>
      </c>
      <c r="F384">
        <v>6937.119999999999</v>
      </c>
      <c r="G384">
        <v>0.00016092913725547617</v>
      </c>
      <c r="H384" t="str">
        <v/>
      </c>
      <c r="I384" t="str">
        <v>length/s</v>
      </c>
      <c r="J384">
        <v>0</v>
      </c>
      <c r="K384">
        <v>0</v>
      </c>
      <c r="L384">
        <f>H384*J384</f>
        <v>0</v>
      </c>
      <c r="M384">
        <f>K384+L384</f>
        <v>0</v>
      </c>
      <c r="N384">
        <f>M384/43106674.89</f>
        <v>0</v>
      </c>
      <c r="O384" t="str">
        <v>Ongoing</v>
      </c>
    </row>
    <row r="385">
      <c r="A385" t="str">
        <v/>
      </c>
      <c r="B385" t="str">
        <v>3/8"</v>
      </c>
      <c r="C385" t="str">
        <v>length/s</v>
      </c>
      <c r="D385">
        <v>24</v>
      </c>
      <c r="E385">
        <v>441.8299999999999</v>
      </c>
      <c r="F385">
        <v>10603.919999999998</v>
      </c>
      <c r="G385">
        <v>0.0002459925296270049</v>
      </c>
      <c r="H385" t="str">
        <v/>
      </c>
      <c r="I385" t="str">
        <v>length/s</v>
      </c>
      <c r="J385">
        <v>0</v>
      </c>
      <c r="K385">
        <v>0</v>
      </c>
      <c r="L385">
        <f>H385*J385</f>
        <v>0</v>
      </c>
      <c r="M385">
        <f>K385+L385</f>
        <v>0</v>
      </c>
      <c r="N385">
        <f>M385/43106674.89</f>
        <v>0</v>
      </c>
      <c r="O385" t="str">
        <v>Ongoing</v>
      </c>
    </row>
    <row r="386">
      <c r="A386" t="str">
        <v/>
      </c>
      <c r="B386" t="str">
        <v>1/2"</v>
      </c>
      <c r="C386" t="str">
        <v>length/s</v>
      </c>
      <c r="D386">
        <v>19</v>
      </c>
      <c r="E386">
        <v>516.15</v>
      </c>
      <c r="F386">
        <v>9806.85</v>
      </c>
      <c r="G386">
        <v>0.00022750188978911513</v>
      </c>
      <c r="H386" t="str">
        <v/>
      </c>
      <c r="I386" t="str">
        <v>length/s</v>
      </c>
      <c r="J386">
        <v>0</v>
      </c>
      <c r="K386">
        <v>0</v>
      </c>
      <c r="L386">
        <f>H386*J386</f>
        <v>0</v>
      </c>
      <c r="M386">
        <f>K386+L386</f>
        <v>0</v>
      </c>
      <c r="N386">
        <f>M386/43106674.89</f>
        <v>0</v>
      </c>
      <c r="O386" t="str">
        <v>Ongoing</v>
      </c>
    </row>
    <row r="387">
      <c r="A387" t="str">
        <v/>
      </c>
      <c r="B387" t="str">
        <v>5/8"</v>
      </c>
      <c r="C387" t="str">
        <v>length/s</v>
      </c>
      <c r="D387">
        <v>27</v>
      </c>
      <c r="E387">
        <v>629.7099999999999</v>
      </c>
      <c r="F387">
        <v>17002.17</v>
      </c>
      <c r="G387">
        <v>0.00039442081866407656</v>
      </c>
      <c r="H387" t="str">
        <v/>
      </c>
      <c r="I387" t="str">
        <v>length/s</v>
      </c>
      <c r="J387">
        <v>0</v>
      </c>
      <c r="K387">
        <v>0</v>
      </c>
      <c r="L387">
        <f>H387*J387</f>
        <v>0</v>
      </c>
      <c r="M387">
        <f>K387+L387</f>
        <v>0</v>
      </c>
      <c r="N387">
        <f>M387/43106674.89</f>
        <v>0</v>
      </c>
      <c r="O387" t="str">
        <v>Ongoing</v>
      </c>
    </row>
    <row r="388">
      <c r="A388" t="str">
        <v/>
      </c>
      <c r="B388" t="str">
        <v>3/4"</v>
      </c>
      <c r="C388" t="str">
        <v>length/s</v>
      </c>
      <c r="D388">
        <v>31</v>
      </c>
      <c r="E388">
        <v>708.16</v>
      </c>
      <c r="F388">
        <v>21952.96</v>
      </c>
      <c r="G388">
        <v>0.0005092705493063372</v>
      </c>
      <c r="H388" t="str">
        <v/>
      </c>
      <c r="I388" t="str">
        <v>length/s</v>
      </c>
      <c r="J388">
        <v>0</v>
      </c>
      <c r="K388">
        <v>0</v>
      </c>
      <c r="L388">
        <f>H388*J388</f>
        <v>0</v>
      </c>
      <c r="M388">
        <f>K388+L388</f>
        <v>0</v>
      </c>
      <c r="N388">
        <f>M388/43106674.89</f>
        <v>0</v>
      </c>
      <c r="O388" t="str">
        <v>Ongoing</v>
      </c>
    </row>
    <row r="389">
      <c r="A389" t="str">
        <v/>
      </c>
      <c r="B389" t="str">
        <v>7/8"</v>
      </c>
      <c r="C389" t="str">
        <v>length/s</v>
      </c>
      <c r="D389">
        <v>4</v>
      </c>
      <c r="E389">
        <v>784.55</v>
      </c>
      <c r="F389">
        <v>3138.2</v>
      </c>
      <c r="G389">
        <v>0.00007280079031862434</v>
      </c>
      <c r="H389" t="str">
        <v/>
      </c>
      <c r="I389" t="str">
        <v>length/s</v>
      </c>
      <c r="J389">
        <v>0</v>
      </c>
      <c r="K389">
        <v>0</v>
      </c>
      <c r="L389">
        <f>H389*J389</f>
        <v>0</v>
      </c>
      <c r="M389">
        <f>K389+L389</f>
        <v>0</v>
      </c>
      <c r="N389">
        <f>M389/43106674.89</f>
        <v>0</v>
      </c>
      <c r="O389" t="str">
        <v>Ongoing</v>
      </c>
    </row>
    <row r="390">
      <c r="A390" t="str">
        <v/>
      </c>
      <c r="B390" t="str">
        <v>1-1/8"</v>
      </c>
      <c r="C390" t="str">
        <v>length/s</v>
      </c>
      <c r="D390">
        <v>10</v>
      </c>
      <c r="E390">
        <v>846.49</v>
      </c>
      <c r="F390">
        <v>8464.9</v>
      </c>
      <c r="G390">
        <v>0.00019637098016956318</v>
      </c>
      <c r="H390" t="str">
        <v/>
      </c>
      <c r="I390" t="str">
        <v>length/s</v>
      </c>
      <c r="J390">
        <v>0</v>
      </c>
      <c r="K390">
        <v>0</v>
      </c>
      <c r="L390">
        <f>H390*J390</f>
        <v>0</v>
      </c>
      <c r="M390">
        <f>K390+L390</f>
        <v>0</v>
      </c>
      <c r="N390">
        <f>M390/43106674.89</f>
        <v>0</v>
      </c>
      <c r="O390" t="str">
        <v>Ongoing</v>
      </c>
    </row>
    <row r="391">
      <c r="A391" t="str">
        <v/>
      </c>
      <c r="B391" t="str">
        <v>1-3/8"</v>
      </c>
      <c r="C391" t="str">
        <v>length/s</v>
      </c>
      <c r="D391">
        <v>4</v>
      </c>
      <c r="E391">
        <v>896.03</v>
      </c>
      <c r="F391">
        <v>3584.12</v>
      </c>
      <c r="G391">
        <v>0.00008314535995054103</v>
      </c>
      <c r="H391" t="str">
        <v/>
      </c>
      <c r="I391" t="str">
        <v>length/s</v>
      </c>
      <c r="J391">
        <v>0</v>
      </c>
      <c r="K391">
        <v>0</v>
      </c>
      <c r="L391">
        <v>0</v>
      </c>
      <c r="M391">
        <v>0</v>
      </c>
      <c r="N391">
        <v>0</v>
      </c>
      <c r="O391" t="str">
        <v>Ongoing</v>
      </c>
    </row>
    <row r="392">
      <c r="A392" t="str">
        <v/>
      </c>
      <c r="B392" t="str">
        <v>1-5/8"</v>
      </c>
      <c r="C392" t="str">
        <v>length/s</v>
      </c>
      <c r="D392">
        <v>27</v>
      </c>
      <c r="E392">
        <v>1011.66</v>
      </c>
      <c r="F392">
        <v>27314.82</v>
      </c>
      <c r="G392">
        <v>0.000633656390099728</v>
      </c>
      <c r="H392" t="str">
        <v/>
      </c>
      <c r="I392" t="str">
        <v>length/s</v>
      </c>
      <c r="J392">
        <v>0</v>
      </c>
      <c r="K392">
        <v>0</v>
      </c>
      <c r="L392">
        <v>0</v>
      </c>
      <c r="M392">
        <v>0</v>
      </c>
      <c r="N392">
        <v>0</v>
      </c>
      <c r="O392" t="str">
        <v>Ongoing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>
        <f>H393*J393</f>
        <v>0</v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Copper Pipe Fittings</v>
      </c>
      <c r="C394" t="str">
        <v>lot</v>
      </c>
      <c r="D394">
        <v>1</v>
      </c>
      <c r="E394">
        <v>96659.96999999999</v>
      </c>
      <c r="F394">
        <v>96659.96999999999</v>
      </c>
      <c r="G394">
        <v>0.00224234344789195</v>
      </c>
      <c r="H394" t="str">
        <v/>
      </c>
      <c r="I394" t="str">
        <v>lot</v>
      </c>
      <c r="J394" t="str">
        <v/>
      </c>
      <c r="K394">
        <v>0</v>
      </c>
      <c r="L394">
        <f>H394*J394</f>
        <v>0</v>
      </c>
      <c r="M394">
        <f>K394+L394</f>
        <v>0</v>
      </c>
      <c r="N394">
        <f>M394/43106674.89</f>
        <v>0</v>
      </c>
      <c r="O394" t="str">
        <v>Ongoing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>
        <f>H395*J395</f>
        <v>0</v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>Isolation Ball Valves</v>
      </c>
      <c r="C396" t="str">
        <v>pc/s</v>
      </c>
      <c r="D396">
        <v>24</v>
      </c>
      <c r="E396">
        <v>3207.48</v>
      </c>
      <c r="F396">
        <v>76979.52</v>
      </c>
      <c r="G396">
        <v>0.001785791184229287</v>
      </c>
      <c r="H396" t="str">
        <v/>
      </c>
      <c r="I396" t="str">
        <v>pc/s</v>
      </c>
      <c r="J396">
        <v>0</v>
      </c>
      <c r="K396">
        <v>0</v>
      </c>
      <c r="L396">
        <f>H396*J396</f>
        <v>0</v>
      </c>
      <c r="M396">
        <f>K396+L396</f>
        <v>0</v>
      </c>
      <c r="N396">
        <f>M396/43106674.89</f>
        <v>0</v>
      </c>
      <c r="O396" t="str">
        <v>Ongoing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>
        <f>H397*J397</f>
        <v>0</v>
      </c>
      <c r="M397">
        <f>K397+L397</f>
        <v>0</v>
      </c>
      <c r="N397">
        <f>M397/43106674.89</f>
        <v>0</v>
      </c>
      <c r="O397" t="str">
        <v/>
      </c>
    </row>
    <row r="398">
      <c r="A398" t="str">
        <v/>
      </c>
      <c r="B398" t="str">
        <v>PVC Cladding Works</v>
      </c>
      <c r="C398" t="str">
        <v>lot</v>
      </c>
      <c r="D398">
        <v>1</v>
      </c>
      <c r="E398">
        <v>32219.999999999996</v>
      </c>
      <c r="F398">
        <v>32219.999999999996</v>
      </c>
      <c r="G398">
        <v>0.0007474480479466178</v>
      </c>
      <c r="H398" t="str">
        <v/>
      </c>
      <c r="I398" t="str">
        <v>lot</v>
      </c>
      <c r="J398" t="str">
        <v/>
      </c>
      <c r="K398">
        <v>0</v>
      </c>
      <c r="L398">
        <f>H398*J398</f>
        <v>0</v>
      </c>
      <c r="M398">
        <f>K398+L398</f>
        <v>0</v>
      </c>
      <c r="N398">
        <f>M398/43106674.89</f>
        <v>0</v>
      </c>
      <c r="O398" t="str">
        <v>Ongoing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>
        <f>H399*J399</f>
        <v>0</v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>Concrete Pad</v>
      </c>
      <c r="C400" t="str">
        <v>pcs</v>
      </c>
      <c r="D400">
        <v>3</v>
      </c>
      <c r="E400">
        <v>9622.41</v>
      </c>
      <c r="F400">
        <v>28867.23</v>
      </c>
      <c r="G400">
        <v>0.0006696696062422733</v>
      </c>
      <c r="H400" t="str">
        <v/>
      </c>
      <c r="I400" t="str">
        <v>pcs</v>
      </c>
      <c r="J400">
        <v>0</v>
      </c>
      <c r="K400">
        <v>0</v>
      </c>
      <c r="L400">
        <f>H400*J400</f>
        <v>0</v>
      </c>
      <c r="M400">
        <f>K400+L400</f>
        <v>0</v>
      </c>
      <c r="N400">
        <f>M400/43106674.89</f>
        <v>0</v>
      </c>
      <c r="O400" t="str">
        <v>Ongoing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>
        <f>H401*J401</f>
        <v>0</v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>Condensate Drain Pipes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>32mm dia. uPVC blue pipe PNS 65</v>
      </c>
      <c r="C403" t="str">
        <v>length/s</v>
      </c>
      <c r="D403">
        <v>31</v>
      </c>
      <c r="E403">
        <v>404.15</v>
      </c>
      <c r="F403">
        <v>12528.65</v>
      </c>
      <c r="G403">
        <v>0.00029064292321248896</v>
      </c>
      <c r="H403" t="str">
        <v/>
      </c>
      <c r="I403" t="str">
        <v>length/s</v>
      </c>
      <c r="J403">
        <v>0</v>
      </c>
      <c r="K403">
        <v>0</v>
      </c>
      <c r="L403">
        <f>H403*J403</f>
        <v>0</v>
      </c>
      <c r="M403">
        <f>K403+L403</f>
        <v>0</v>
      </c>
      <c r="N403">
        <f>M403/43106674.89</f>
        <v>0</v>
      </c>
      <c r="O403" t="str">
        <v>Ongoing</v>
      </c>
    </row>
    <row r="404">
      <c r="A404" t="str">
        <v/>
      </c>
      <c r="B404" t="str">
        <v>50mm dia. PVC blue uPVC blue pipe PNS 65</v>
      </c>
      <c r="C404" t="str">
        <v>length/s</v>
      </c>
      <c r="D404">
        <v>38</v>
      </c>
      <c r="E404">
        <v>641.83</v>
      </c>
      <c r="F404">
        <v>24389.54</v>
      </c>
      <c r="G404">
        <v>0.0005657949740321526</v>
      </c>
      <c r="H404" t="str">
        <v/>
      </c>
      <c r="I404" t="str">
        <v>length/s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>
        <f>H405*J405</f>
        <v>0</v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>Condensate Drain Pipes Rubber Insulation 1.5 meters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>3/4'' thick for 32mm pvc</v>
      </c>
      <c r="C407" t="str">
        <v>length/s</v>
      </c>
      <c r="D407">
        <v>61</v>
      </c>
      <c r="E407">
        <v>427.66999999999996</v>
      </c>
      <c r="F407">
        <v>26087.87</v>
      </c>
      <c r="G407">
        <v>0.0006051932807754542</v>
      </c>
      <c r="H407" t="str">
        <v/>
      </c>
      <c r="I407" t="str">
        <v>length/s</v>
      </c>
      <c r="J407">
        <v>0</v>
      </c>
      <c r="K407">
        <v>0</v>
      </c>
      <c r="L407">
        <f>H407*J407</f>
        <v>0</v>
      </c>
      <c r="M407">
        <f>K407+L407</f>
        <v>0</v>
      </c>
      <c r="N407">
        <f>M407/43106674.89</f>
        <v>0</v>
      </c>
      <c r="O407" t="str">
        <v>Ongoing</v>
      </c>
    </row>
    <row r="408">
      <c r="A408" t="str">
        <v/>
      </c>
      <c r="B408" t="str">
        <v>3/4'' thick for 50mm pvc</v>
      </c>
      <c r="C408" t="str">
        <v>length/s</v>
      </c>
      <c r="D408">
        <v>75</v>
      </c>
      <c r="E408">
        <v>812.5699999999999</v>
      </c>
      <c r="F408">
        <v>60942.74999999999</v>
      </c>
      <c r="G408">
        <v>0.0014137659690874843</v>
      </c>
      <c r="H408" t="str">
        <v/>
      </c>
      <c r="I408" t="str">
        <v>length/s</v>
      </c>
      <c r="J408">
        <v>0</v>
      </c>
      <c r="K408">
        <v>0</v>
      </c>
      <c r="L408">
        <v>0</v>
      </c>
      <c r="M408">
        <v>0</v>
      </c>
      <c r="N408">
        <v>0</v>
      </c>
      <c r="O408" t="str">
        <v>Ongoing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>
        <f>H409*J409</f>
        <v>0</v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>Drain Pump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 (5.0m pump Lift) Model: BDU513A450VE</v>
      </c>
      <c r="C411" t="str">
        <v>pcs</v>
      </c>
      <c r="D411">
        <v>10</v>
      </c>
      <c r="E411">
        <v>30473.159999999996</v>
      </c>
      <c r="F411">
        <v>304731.6</v>
      </c>
      <c r="G411">
        <v>0.007069243934439775</v>
      </c>
      <c r="H411" t="str">
        <v/>
      </c>
      <c r="I411" t="str">
        <v>pcs</v>
      </c>
      <c r="J411">
        <v>0</v>
      </c>
      <c r="K411">
        <v>0</v>
      </c>
      <c r="L411">
        <v>0</v>
      </c>
      <c r="M411">
        <v>0</v>
      </c>
      <c r="N411">
        <v>0</v>
      </c>
      <c r="O411" t="str">
        <v>Ongoing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>
        <f>H412*J412</f>
        <v>0</v>
      </c>
      <c r="M412">
        <f>K412+L412</f>
        <v>0</v>
      </c>
      <c r="N412">
        <f>M412/43106674.89</f>
        <v>0</v>
      </c>
      <c r="O412" t="str">
        <v/>
      </c>
    </row>
    <row r="413">
      <c r="A413" t="str">
        <v/>
      </c>
      <c r="B413" t="str">
        <v>Fittings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>
        <f>H413*J413</f>
        <v>0</v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Wye 50mm</v>
      </c>
      <c r="C414" t="str">
        <v>length/s</v>
      </c>
      <c r="D414">
        <v>2</v>
      </c>
      <c r="E414">
        <v>213.84</v>
      </c>
      <c r="F414">
        <v>427.68</v>
      </c>
      <c r="G414">
        <v>0.000009921433306822145</v>
      </c>
      <c r="H414" t="str">
        <v/>
      </c>
      <c r="I414" t="str">
        <v>length/s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Wye Reducer 50 x 32</v>
      </c>
      <c r="C415" t="str">
        <v>length/s</v>
      </c>
      <c r="D415">
        <v>11</v>
      </c>
      <c r="E415">
        <v>192.45999999999995</v>
      </c>
      <c r="F415">
        <v>2117.0599999999995</v>
      </c>
      <c r="G415">
        <v>0.00004911211559236084</v>
      </c>
      <c r="H415" t="str">
        <v/>
      </c>
      <c r="I415" t="str">
        <v>length/s</v>
      </c>
      <c r="J415">
        <v>0</v>
      </c>
      <c r="K415">
        <v>0</v>
      </c>
      <c r="L415">
        <v>0</v>
      </c>
      <c r="M415">
        <v>0</v>
      </c>
      <c r="N415">
        <v>0</v>
      </c>
      <c r="O415" t="str">
        <v>Ongoing</v>
      </c>
    </row>
    <row r="416">
      <c r="A416" t="str">
        <v/>
      </c>
      <c r="B416" t="str">
        <v>Tee 32mm</v>
      </c>
      <c r="C416" t="str">
        <v>length/s</v>
      </c>
      <c r="D416">
        <v>3</v>
      </c>
      <c r="E416">
        <v>53.47</v>
      </c>
      <c r="F416">
        <v>160.41</v>
      </c>
      <c r="G416">
        <v>0.0000037212334379614206</v>
      </c>
      <c r="H416" t="str">
        <v/>
      </c>
      <c r="I416" t="str">
        <v>length/s</v>
      </c>
      <c r="J416">
        <v>0</v>
      </c>
      <c r="K416">
        <v>0</v>
      </c>
      <c r="L416">
        <f>H416*J416</f>
        <v>0</v>
      </c>
      <c r="M416">
        <f>K416+L416</f>
        <v>0</v>
      </c>
      <c r="N416">
        <f>M416/43106674.89</f>
        <v>0</v>
      </c>
      <c r="O416" t="str">
        <v>Ongoing</v>
      </c>
    </row>
    <row r="417">
      <c r="A417" t="str">
        <v/>
      </c>
      <c r="B417" t="str">
        <v>Tee Reducer 50 x 32</v>
      </c>
      <c r="C417" t="str">
        <v>length/s</v>
      </c>
      <c r="D417">
        <v>3</v>
      </c>
      <c r="E417">
        <v>203.14999999999998</v>
      </c>
      <c r="F417">
        <v>609.4499999999999</v>
      </c>
      <c r="G417">
        <v>0.00001413818165180218</v>
      </c>
      <c r="H417" t="str">
        <v/>
      </c>
      <c r="I417" t="str">
        <v>length/s</v>
      </c>
      <c r="J417">
        <v>0</v>
      </c>
      <c r="K417">
        <v>0</v>
      </c>
      <c r="L417">
        <f>H417*J417</f>
        <v>0</v>
      </c>
      <c r="M417">
        <f>K417+L417</f>
        <v>0</v>
      </c>
      <c r="N417">
        <f>M417/43106674.89</f>
        <v>0</v>
      </c>
      <c r="O417" t="str">
        <v>Ongoing</v>
      </c>
    </row>
    <row r="418">
      <c r="A418" t="str">
        <v/>
      </c>
      <c r="B418" t="str">
        <v>Elbow 32mm</v>
      </c>
      <c r="C418" t="str">
        <v>length/s</v>
      </c>
      <c r="D418">
        <v>7</v>
      </c>
      <c r="E418">
        <v>43.63</v>
      </c>
      <c r="F418">
        <v>305.41</v>
      </c>
      <c r="G418">
        <v>0.000007084981636355574</v>
      </c>
      <c r="H418" t="str">
        <v/>
      </c>
      <c r="I418" t="str">
        <v>length/s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Ongoing</v>
      </c>
    </row>
    <row r="419">
      <c r="A419" t="str">
        <v/>
      </c>
      <c r="B419" t="str">
        <v>Cleanout 50mm</v>
      </c>
      <c r="C419" t="str">
        <v>length/s</v>
      </c>
      <c r="D419">
        <v>6</v>
      </c>
      <c r="E419">
        <v>213.84</v>
      </c>
      <c r="F419">
        <v>1283.04</v>
      </c>
      <c r="G419">
        <v>0.00002976429992046643</v>
      </c>
      <c r="H419" t="str">
        <v/>
      </c>
      <c r="I419" t="str">
        <v>length/s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>
        <f>H420*J420</f>
        <v>0</v>
      </c>
      <c r="M420">
        <f>K420+L420</f>
        <v>0</v>
      </c>
      <c r="N420">
        <f>M420/43106674.89</f>
        <v>0</v>
      </c>
      <c r="O420" t="str">
        <v/>
      </c>
    </row>
    <row r="421">
      <c r="A421" t="str">
        <v/>
      </c>
      <c r="B421" t="str">
        <v>RELATED ELECTRICAL WORKS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Rough-ins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liquid-tight metallic flexible conduits 2"</v>
      </c>
      <c r="C423" t="str">
        <v>m</v>
      </c>
      <c r="D423">
        <v>78</v>
      </c>
      <c r="E423">
        <v>763.3899999999999</v>
      </c>
      <c r="F423">
        <v>59544.41999999999</v>
      </c>
      <c r="G423">
        <v>0.0013813271413753428</v>
      </c>
      <c r="H423" t="str">
        <v/>
      </c>
      <c r="I423" t="str">
        <v>m</v>
      </c>
      <c r="J423">
        <v>0</v>
      </c>
      <c r="K423">
        <v>0</v>
      </c>
      <c r="L423">
        <f>H423*J423</f>
        <v>0</v>
      </c>
      <c r="M423">
        <f>K423+L423</f>
        <v>0</v>
      </c>
      <c r="N423">
        <f>M423/43106674.89</f>
        <v>0</v>
      </c>
      <c r="O423" t="str">
        <v>Ongoing</v>
      </c>
    </row>
    <row r="424">
      <c r="A424" t="str">
        <v/>
      </c>
      <c r="B424" t="str">
        <v>Metallic Flexible Conduit 20mm</v>
      </c>
      <c r="C424" t="str">
        <v>m</v>
      </c>
      <c r="D424">
        <v>654</v>
      </c>
      <c r="E424">
        <v>65.86999999999999</v>
      </c>
      <c r="F424">
        <v>43078.979999999996</v>
      </c>
      <c r="G424">
        <v>0.0009993575266459152</v>
      </c>
      <c r="H424" t="str">
        <v/>
      </c>
      <c r="I424" t="str">
        <v>m</v>
      </c>
      <c r="J424">
        <v>0</v>
      </c>
      <c r="K424">
        <v>0</v>
      </c>
      <c r="L424">
        <f>H424*J424</f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Metallic Flexible Conduit Connector 20mm</v>
      </c>
      <c r="C425" t="str">
        <v>pcs</v>
      </c>
      <c r="D425">
        <v>32</v>
      </c>
      <c r="E425">
        <v>32.09</v>
      </c>
      <c r="F425">
        <v>1026.88</v>
      </c>
      <c r="G425">
        <v>0.000023821832758393013</v>
      </c>
      <c r="H425" t="str">
        <v/>
      </c>
      <c r="I425" t="str">
        <v>pcs</v>
      </c>
      <c r="J425">
        <v>0</v>
      </c>
      <c r="K425">
        <v>0</v>
      </c>
      <c r="L425">
        <f>H425*J425</f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Cables / Wires</v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>
        <f>H426*J426</f>
        <v>0</v>
      </c>
      <c r="M426">
        <f>K426+L426</f>
        <v>0</v>
      </c>
      <c r="N426">
        <f>M426/43106674.89</f>
        <v>0</v>
      </c>
      <c r="O426" t="str">
        <v/>
      </c>
    </row>
    <row r="427">
      <c r="A427" t="str">
        <v/>
      </c>
      <c r="B427" t="str">
        <v>Communication wire (PD Royal Cord 0.75mm/2C)</v>
      </c>
      <c r="C427" t="str">
        <v>m</v>
      </c>
      <c r="D427">
        <v>472</v>
      </c>
      <c r="E427">
        <v>80.84000000000002</v>
      </c>
      <c r="F427">
        <v>38156.48000000001</v>
      </c>
      <c r="G427">
        <v>0.0008851640748762934</v>
      </c>
      <c r="H427" t="str">
        <v/>
      </c>
      <c r="I427" t="str">
        <v>m</v>
      </c>
      <c r="J427">
        <v>0</v>
      </c>
      <c r="K427">
        <v>0</v>
      </c>
      <c r="L427">
        <f>H427*J427</f>
        <v>0</v>
      </c>
      <c r="M427">
        <f>K427+L427</f>
        <v>0</v>
      </c>
      <c r="N427">
        <f>M427/43106674.89</f>
        <v>0</v>
      </c>
      <c r="O427" t="str">
        <v>Ongoing</v>
      </c>
    </row>
    <row r="428">
      <c r="A428" t="str">
        <v/>
      </c>
      <c r="B428" t="str">
        <v>Wire 3.5mm² THHN (5 meters per Unit)</v>
      </c>
      <c r="C428" t="str">
        <v>m</v>
      </c>
      <c r="D428">
        <v>78</v>
      </c>
      <c r="E428">
        <v>77.05</v>
      </c>
      <c r="F428">
        <v>6009.9</v>
      </c>
      <c r="G428">
        <v>0.0001394192434312346</v>
      </c>
      <c r="H428" t="str">
        <v/>
      </c>
      <c r="I428" t="str">
        <v>m</v>
      </c>
      <c r="J428">
        <v>0</v>
      </c>
      <c r="K428">
        <v>0</v>
      </c>
      <c r="L428">
        <f>H428*J428</f>
        <v>0</v>
      </c>
      <c r="M428">
        <f>K428+L428</f>
        <v>0</v>
      </c>
      <c r="N428">
        <f>M428/43106674.89</f>
        <v>0</v>
      </c>
      <c r="O428" t="str">
        <v>Ongoing</v>
      </c>
    </row>
    <row r="429">
      <c r="A429" t="str">
        <v/>
      </c>
      <c r="B429" t="str">
        <v>Wire 5.5mm² THHN (5 meters per Unit)</v>
      </c>
      <c r="C429" t="str">
        <v>m</v>
      </c>
      <c r="D429">
        <v>26</v>
      </c>
      <c r="E429">
        <v>120.11</v>
      </c>
      <c r="F429">
        <v>3122.86</v>
      </c>
      <c r="G429">
        <v>0.00007244492895749768</v>
      </c>
      <c r="H429" t="str">
        <v/>
      </c>
      <c r="I429" t="str">
        <v>m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Wire 38.0mm² THHN (5 meters per Unit)</v>
      </c>
      <c r="C430" t="str">
        <v>m</v>
      </c>
      <c r="D430">
        <v>59</v>
      </c>
      <c r="E430">
        <v>938.2</v>
      </c>
      <c r="F430">
        <v>55353.8</v>
      </c>
      <c r="G430">
        <v>0.0012841120346501395</v>
      </c>
      <c r="H430" t="str">
        <v/>
      </c>
      <c r="I430" t="str">
        <v>m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for ground: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Wire 3.5mm² THHN (G) (5 meters per Unit)</v>
      </c>
      <c r="C432" t="str">
        <v>m</v>
      </c>
      <c r="D432">
        <v>78</v>
      </c>
      <c r="E432">
        <v>75.36</v>
      </c>
      <c r="F432">
        <v>5878.08</v>
      </c>
      <c r="G432">
        <v>0.00013636124834494275</v>
      </c>
      <c r="H432" t="str">
        <v/>
      </c>
      <c r="I432" t="str">
        <v>m</v>
      </c>
      <c r="J432">
        <v>0</v>
      </c>
      <c r="K432">
        <v>0</v>
      </c>
      <c r="L432">
        <f>H432*J432</f>
        <v>0</v>
      </c>
      <c r="M432">
        <f>K432+L432</f>
        <v>0</v>
      </c>
      <c r="N432">
        <f>M432/43106674.89</f>
        <v>0</v>
      </c>
      <c r="O432" t="str">
        <v>Ongoing</v>
      </c>
    </row>
    <row r="433">
      <c r="A433" t="str">
        <v/>
      </c>
      <c r="B433" t="str">
        <v>Wire 14.0mm² THHN (G) (5 meters per Unit)</v>
      </c>
      <c r="C433" t="str">
        <v>m</v>
      </c>
      <c r="D433">
        <v>20</v>
      </c>
      <c r="E433">
        <v>311.01000000000005</v>
      </c>
      <c r="F433">
        <v>6220.200000000001</v>
      </c>
      <c r="G433">
        <v>0.000144297838232078</v>
      </c>
      <c r="H433" t="str">
        <v/>
      </c>
      <c r="I433" t="str">
        <v>m</v>
      </c>
      <c r="J433">
        <v>0</v>
      </c>
      <c r="K433">
        <v>0</v>
      </c>
      <c r="L433">
        <f>H433*J433</f>
        <v>0</v>
      </c>
      <c r="M433">
        <f>K433+L433</f>
        <v>0</v>
      </c>
      <c r="N433">
        <f>M433/43106674.89</f>
        <v>0</v>
      </c>
      <c r="O433" t="str">
        <v>Ongoing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>
        <f>H434*J434</f>
        <v>0</v>
      </c>
      <c r="M434">
        <f>K434+L434</f>
        <v>0</v>
      </c>
      <c r="N434">
        <f>M434/43106674.89</f>
        <v>0</v>
      </c>
      <c r="O434" t="str">
        <v/>
      </c>
    </row>
    <row r="435">
      <c r="A435" t="str">
        <v>IV.B</v>
      </c>
      <c r="B435" t="str">
        <v>CONSUMABLES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/>
      </c>
      <c r="B436" t="str">
        <v>Vibration Isolator</v>
      </c>
      <c r="C436" t="str">
        <v>pcs</v>
      </c>
      <c r="D436">
        <v>20</v>
      </c>
      <c r="E436">
        <v>1389.91</v>
      </c>
      <c r="F436">
        <v>27798.2</v>
      </c>
      <c r="G436">
        <v>0.0006448699666800023</v>
      </c>
      <c r="H436" t="str">
        <v/>
      </c>
      <c r="I436" t="str">
        <v>pcs</v>
      </c>
      <c r="J436">
        <v>0</v>
      </c>
      <c r="K436">
        <v>0</v>
      </c>
      <c r="L436">
        <f>H436*J436</f>
        <v>0</v>
      </c>
      <c r="M436">
        <f>K436+L436</f>
        <v>0</v>
      </c>
      <c r="N436">
        <f>M436/43106674.89</f>
        <v>0</v>
      </c>
      <c r="O436" t="str">
        <v>Ongoing</v>
      </c>
    </row>
    <row r="437">
      <c r="A437" t="str">
        <v/>
      </c>
      <c r="B437" t="str">
        <v>Angle Bar, 2x2x 1/4 (6 meters)</v>
      </c>
      <c r="C437" t="str">
        <v>length/s</v>
      </c>
      <c r="D437">
        <v>7</v>
      </c>
      <c r="E437">
        <v>2523.2200000000003</v>
      </c>
      <c r="F437">
        <v>17662.54</v>
      </c>
      <c r="G437">
        <v>0.00040974025589010106</v>
      </c>
      <c r="H437" t="str">
        <v/>
      </c>
      <c r="I437" t="str">
        <v>length/s</v>
      </c>
      <c r="J437">
        <v>0</v>
      </c>
      <c r="K437">
        <v>0</v>
      </c>
      <c r="L437">
        <f>H437*J437</f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/>
      </c>
      <c r="B438" t="str">
        <v>Rugby</v>
      </c>
      <c r="C438" t="str">
        <v>bottle</v>
      </c>
      <c r="D438">
        <v>24</v>
      </c>
      <c r="E438">
        <v>277.99000000000007</v>
      </c>
      <c r="F438">
        <v>6671.760000000002</v>
      </c>
      <c r="G438">
        <v>0.00015477324606978052</v>
      </c>
      <c r="H438" t="str">
        <v/>
      </c>
      <c r="I438" t="str">
        <v>bottle</v>
      </c>
      <c r="J438">
        <v>0</v>
      </c>
      <c r="K438">
        <v>0</v>
      </c>
      <c r="L438">
        <f>H438*J438</f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/>
      </c>
      <c r="B439" t="str">
        <v>White Tape</v>
      </c>
      <c r="C439" t="str">
        <v>rolls</v>
      </c>
      <c r="D439">
        <v>47</v>
      </c>
      <c r="E439">
        <v>374.2199999999999</v>
      </c>
      <c r="F439">
        <v>17588.339999999997</v>
      </c>
      <c r="G439">
        <v>0.00040801894474306065</v>
      </c>
      <c r="H439" t="str">
        <v/>
      </c>
      <c r="I439" t="str">
        <v>rolls</v>
      </c>
      <c r="J439">
        <v>0</v>
      </c>
      <c r="K439">
        <v>0</v>
      </c>
      <c r="L439">
        <f>H439*J439</f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/>
      </c>
      <c r="B440" t="str">
        <v>Threaded rod 3/8 (6 meters)</v>
      </c>
      <c r="C440" t="str">
        <v>length/s</v>
      </c>
      <c r="D440">
        <v>104</v>
      </c>
      <c r="E440">
        <v>171.07</v>
      </c>
      <c r="F440">
        <v>17791.28</v>
      </c>
      <c r="G440">
        <v>0.0004127268003250063</v>
      </c>
      <c r="H440" t="str">
        <v/>
      </c>
      <c r="I440" t="str">
        <v>length/s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/>
      </c>
      <c r="B441" t="str">
        <v>Nuts and washer 3/8</v>
      </c>
      <c r="C441" t="str">
        <v>pcs</v>
      </c>
      <c r="D441">
        <v>32</v>
      </c>
      <c r="E441">
        <v>21.39</v>
      </c>
      <c r="F441">
        <v>684.48</v>
      </c>
      <c r="G441">
        <v>0.000015878747357495374</v>
      </c>
      <c r="H441" t="str">
        <v/>
      </c>
      <c r="I441" t="str">
        <v>pcs</v>
      </c>
      <c r="J441">
        <v>0</v>
      </c>
      <c r="K441">
        <v>0</v>
      </c>
      <c r="L441">
        <f>H441*J441</f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/>
      </c>
      <c r="B442" t="str">
        <v>Grip Anchor 3/8</v>
      </c>
      <c r="C442" t="str">
        <v>pcs</v>
      </c>
      <c r="D442">
        <v>32</v>
      </c>
      <c r="E442">
        <v>10.699999999999998</v>
      </c>
      <c r="F442">
        <v>342.3999999999999</v>
      </c>
      <c r="G442">
        <v>0.000007943085400897639</v>
      </c>
      <c r="H442" t="str">
        <v/>
      </c>
      <c r="I442" t="str">
        <v>pcs</v>
      </c>
      <c r="J442">
        <v>0</v>
      </c>
      <c r="K442">
        <v>0</v>
      </c>
      <c r="L442">
        <f>H442*J442</f>
        <v>0</v>
      </c>
      <c r="M442">
        <f>K442+L442</f>
        <v>0</v>
      </c>
      <c r="N442">
        <f>M442/43106674.89</f>
        <v>0</v>
      </c>
      <c r="O442" t="str">
        <v>Ongoing</v>
      </c>
    </row>
    <row r="443">
      <c r="A443" t="str">
        <v/>
      </c>
      <c r="B443" t="str">
        <v>Paint (Red Oxide)</v>
      </c>
      <c r="C443" t="str">
        <v>gallon</v>
      </c>
      <c r="D443">
        <v>1</v>
      </c>
      <c r="E443">
        <v>3432</v>
      </c>
      <c r="F443">
        <v>3432</v>
      </c>
      <c r="G443">
        <v>0.000079616440116474</v>
      </c>
      <c r="H443" t="str">
        <v/>
      </c>
      <c r="I443" t="str">
        <v>gallon</v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/>
      </c>
      <c r="B444" t="str">
        <v>Loop Hangers</v>
      </c>
      <c r="C444" t="str">
        <v>pcs</v>
      </c>
      <c r="D444">
        <v>393</v>
      </c>
      <c r="E444">
        <v>42.78</v>
      </c>
      <c r="F444">
        <v>16812.54</v>
      </c>
      <c r="G444">
        <v>0.0003900217319684802</v>
      </c>
      <c r="H444" t="str">
        <v/>
      </c>
      <c r="I444" t="str">
        <v>pcs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Ongoing</v>
      </c>
    </row>
    <row r="445">
      <c r="A445" t="str">
        <v/>
      </c>
      <c r="B445" t="str">
        <v>Freon</v>
      </c>
      <c r="C445" t="str">
        <v>tank</v>
      </c>
      <c r="D445">
        <v>8</v>
      </c>
      <c r="E445">
        <v>14497.769999999999</v>
      </c>
      <c r="F445">
        <v>115982.15999999999</v>
      </c>
      <c r="G445">
        <v>0.002690584701695602</v>
      </c>
      <c r="H445" t="str">
        <v/>
      </c>
      <c r="I445" t="str">
        <v>tank</v>
      </c>
      <c r="J445"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Nitrogen</v>
      </c>
      <c r="C446" t="str">
        <v>tank</v>
      </c>
      <c r="D446">
        <v>4</v>
      </c>
      <c r="E446">
        <v>18175.66</v>
      </c>
      <c r="F446">
        <v>72702.64</v>
      </c>
      <c r="G446">
        <v>0.0016865749952999906</v>
      </c>
      <c r="H446" t="str">
        <v/>
      </c>
      <c r="I446" t="str">
        <v>tank</v>
      </c>
      <c r="J446"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Mapp Gas</v>
      </c>
      <c r="C447" t="str">
        <v>tank</v>
      </c>
      <c r="D447">
        <v>12</v>
      </c>
      <c r="E447">
        <v>812.5699999999998</v>
      </c>
      <c r="F447">
        <v>9750.839999999998</v>
      </c>
      <c r="G447">
        <v>0.00022620255505399745</v>
      </c>
      <c r="H447" t="str">
        <v/>
      </c>
      <c r="I447" t="str">
        <v>tank</v>
      </c>
      <c r="J447"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Silver Rod</v>
      </c>
      <c r="C448" t="str">
        <v>pcs</v>
      </c>
      <c r="D448">
        <v>158</v>
      </c>
      <c r="E448">
        <v>53.47</v>
      </c>
      <c r="F448">
        <v>8448.26</v>
      </c>
      <c r="G448">
        <v>0.0001959849610659682</v>
      </c>
      <c r="H448" t="str">
        <v/>
      </c>
      <c r="I448" t="str">
        <v>pcs</v>
      </c>
      <c r="J448"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Paint Brush</v>
      </c>
      <c r="C449" t="str">
        <v>pcs</v>
      </c>
      <c r="D449">
        <v>1</v>
      </c>
      <c r="E449">
        <v>213.84</v>
      </c>
      <c r="F449">
        <v>213.84</v>
      </c>
      <c r="G449">
        <v>0.000004960716653411073</v>
      </c>
      <c r="H449" t="str">
        <v/>
      </c>
      <c r="I449" t="str">
        <v>pcs</v>
      </c>
      <c r="J449"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>
        <f>H450*J450</f>
        <v>0</v>
      </c>
      <c r="M450">
        <f>K450+L450</f>
        <v>0</v>
      </c>
      <c r="N450">
        <f>M450/43106674.89</f>
        <v>0</v>
      </c>
      <c r="O450" t="str">
        <v/>
      </c>
    </row>
    <row r="451">
      <c r="A451" t="str">
        <v>IV.C</v>
      </c>
      <c r="B451" t="str">
        <v>CHIPPING &amp; RESTORATION (ROUGH-ONLY)</v>
      </c>
      <c r="C451" t="str">
        <v>lot</v>
      </c>
      <c r="D451">
        <v>1</v>
      </c>
      <c r="E451">
        <v>737348.8400000002</v>
      </c>
      <c r="F451">
        <v>737348.8400000002</v>
      </c>
      <c r="G451">
        <v>0.017105212635434613</v>
      </c>
      <c r="H451">
        <v>1</v>
      </c>
      <c r="I451" t="str">
        <v>lot</v>
      </c>
      <c r="J451" t="str">
        <v/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>
        <f>H452*J452</f>
        <v>0</v>
      </c>
      <c r="M452">
        <f>K452+L452</f>
        <v>0</v>
      </c>
      <c r="N452">
        <f>M452/43106674.89</f>
        <v>0</v>
      </c>
      <c r="O452" t="str">
        <v/>
      </c>
    </row>
    <row r="453">
      <c r="A453" t="str">
        <v>IV.D</v>
      </c>
      <c r="B453" t="str">
        <v>MISCELLANEOUS</v>
      </c>
      <c r="C453" t="str">
        <v>lot</v>
      </c>
      <c r="D453">
        <v>1</v>
      </c>
      <c r="E453">
        <v>7277.91</v>
      </c>
      <c r="F453">
        <v>7277.91</v>
      </c>
      <c r="G453">
        <v>0.0001688348734522399</v>
      </c>
      <c r="H453">
        <v>1</v>
      </c>
      <c r="I453" t="str">
        <v>lot</v>
      </c>
      <c r="J453" t="str">
        <v/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>
        <f>H454*J454</f>
        <v>0</v>
      </c>
      <c r="M454">
        <f>K454+L454</f>
        <v>0</v>
      </c>
      <c r="N454">
        <f>M454/43106674.89</f>
        <v>0</v>
      </c>
      <c r="O454" t="str">
        <v/>
      </c>
    </row>
    <row r="455">
      <c r="A455" t="str">
        <v>IV.E</v>
      </c>
      <c r="B455" t="str">
        <v>TESTING &amp; COMMISSIONING</v>
      </c>
      <c r="C455" t="str">
        <v>lot</v>
      </c>
      <c r="D455">
        <v>1</v>
      </c>
      <c r="E455">
        <v>44240.94</v>
      </c>
      <c r="F455">
        <v>44240.94</v>
      </c>
      <c r="G455">
        <v>0.0010263129808294055</v>
      </c>
      <c r="H455">
        <v>1</v>
      </c>
      <c r="I455" t="str">
        <v>lot</v>
      </c>
      <c r="J455" t="str">
        <v/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>
        <f>H456*J456</f>
        <v>0</v>
      </c>
      <c r="M456">
        <f>K456+L456</f>
        <v>0</v>
      </c>
      <c r="N456">
        <f>M456/43106674.89</f>
        <v>0</v>
      </c>
      <c r="O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>
        <f>H457*J457</f>
        <v>0</v>
      </c>
      <c r="M457">
        <f>K457+L457</f>
        <v>0</v>
      </c>
      <c r="N457">
        <f>M457/43106674.89</f>
        <v>0</v>
      </c>
      <c r="O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>
        <f>H458*J458</f>
        <v>0</v>
      </c>
      <c r="M458">
        <f>K458+L458</f>
        <v>0</v>
      </c>
      <c r="N458">
        <f>M458/43106674.89</f>
        <v>0</v>
      </c>
      <c r="O458" t="str">
        <v/>
      </c>
    </row>
    <row r="459">
      <c r="A459" t="str">
        <v>IV</v>
      </c>
      <c r="B459" t="str">
        <v>ELECTRICAL WORKS</v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</row>
    <row r="460">
      <c r="A460" t="str">
        <v/>
      </c>
      <c r="B460" t="str">
        <v>Electrical Works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>
        <f>H460*J460</f>
        <v>0</v>
      </c>
      <c r="M460">
        <f>K460+L460</f>
        <v>0</v>
      </c>
      <c r="N460">
        <f>M460/43106674.89</f>
        <v>0</v>
      </c>
      <c r="O460" t="str">
        <v/>
      </c>
    </row>
    <row r="461">
      <c r="A461" t="str">
        <v>I.</v>
      </c>
      <c r="B461" t="str">
        <v>Service Entrance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>
        <f>H462*J462</f>
        <v>0</v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>II.</v>
      </c>
      <c r="B463" t="str">
        <v>Feeder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/>
      </c>
      <c r="B464" t="str">
        <v>Feeder Wire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>
        <f>H464*J464</f>
        <v>0</v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/>
      </c>
      <c r="B465" t="str">
        <v>250mm² THHN</v>
      </c>
      <c r="C465" t="str">
        <v>m</v>
      </c>
      <c r="D465">
        <v>726</v>
      </c>
      <c r="E465">
        <v>7092.3600000000015</v>
      </c>
      <c r="F465">
        <v>5149053.360000001</v>
      </c>
      <c r="G465">
        <v>0.11944909629748525</v>
      </c>
      <c r="H465" t="str">
        <v/>
      </c>
      <c r="I465" t="str">
        <v>m</v>
      </c>
      <c r="J465">
        <v>0</v>
      </c>
      <c r="K465">
        <v>0</v>
      </c>
      <c r="L465">
        <v>0</v>
      </c>
      <c r="M465">
        <v>0</v>
      </c>
      <c r="N465">
        <v>0</v>
      </c>
      <c r="O465" t="str">
        <v>Ongoing</v>
      </c>
    </row>
    <row r="466">
      <c r="A466" t="str">
        <v/>
      </c>
      <c r="B466" t="str">
        <v>200mm² THHN</v>
      </c>
      <c r="C466" t="str">
        <v>m</v>
      </c>
      <c r="D466">
        <v>117</v>
      </c>
      <c r="E466">
        <v>5509.16</v>
      </c>
      <c r="F466">
        <v>644571.72</v>
      </c>
      <c r="G466">
        <v>0.014952944564729793</v>
      </c>
      <c r="H466" t="str">
        <v/>
      </c>
      <c r="I466" t="str">
        <v>m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>Ongoing</v>
      </c>
    </row>
    <row r="467">
      <c r="A467" t="str">
        <v/>
      </c>
      <c r="B467" t="str">
        <v>38mm² THHN</v>
      </c>
      <c r="C467" t="str">
        <v>m</v>
      </c>
      <c r="D467">
        <v>390</v>
      </c>
      <c r="E467">
        <v>1126.48</v>
      </c>
      <c r="F467">
        <v>439327.2</v>
      </c>
      <c r="G467">
        <v>0.010191628120727913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for ground: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/>
      </c>
      <c r="B469" t="str">
        <v>80mm² THHN</v>
      </c>
      <c r="C469" t="str">
        <v>m</v>
      </c>
      <c r="D469">
        <v>242</v>
      </c>
      <c r="E469">
        <v>2129.76</v>
      </c>
      <c r="F469">
        <v>515401.92000000004</v>
      </c>
      <c r="G469">
        <v>0.01195642951619922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30mm² THHN</v>
      </c>
      <c r="C470" t="str">
        <v>m</v>
      </c>
      <c r="D470">
        <v>39</v>
      </c>
      <c r="E470">
        <v>823.6899999999999</v>
      </c>
      <c r="F470">
        <v>32123.909999999996</v>
      </c>
      <c r="G470">
        <v>0.0007452189268129371</v>
      </c>
      <c r="H470" t="str">
        <v/>
      </c>
      <c r="I470" t="str">
        <v>m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Ongoing</v>
      </c>
    </row>
    <row r="471">
      <c r="A471" t="str">
        <v/>
      </c>
      <c r="B471" t="str">
        <v>14mm² THHN</v>
      </c>
      <c r="C471" t="str">
        <v>m</v>
      </c>
      <c r="D471">
        <v>130</v>
      </c>
      <c r="E471">
        <v>358.86999999999995</v>
      </c>
      <c r="F471">
        <v>46653.09999999999</v>
      </c>
      <c r="G471">
        <v>0.0010822709039620842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Roughing-ins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/>
      </c>
      <c r="B473" t="str">
        <v>90mm dia. IMC</v>
      </c>
      <c r="C473" t="str">
        <v>length/s</v>
      </c>
      <c r="D473">
        <v>94</v>
      </c>
      <c r="E473">
        <v>9301.67</v>
      </c>
      <c r="F473">
        <v>874356.98</v>
      </c>
      <c r="G473">
        <v>0.02028356356019553</v>
      </c>
      <c r="H473" t="str">
        <v/>
      </c>
      <c r="I473" t="str">
        <v>length/s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40mm dia. IMC</v>
      </c>
      <c r="C474" t="str">
        <v>length/s</v>
      </c>
      <c r="D474">
        <v>45</v>
      </c>
      <c r="E474">
        <v>2672.8999999999996</v>
      </c>
      <c r="F474">
        <v>120280.49999999999</v>
      </c>
      <c r="G474">
        <v>0.0027902987253582605</v>
      </c>
      <c r="H474" t="str">
        <v/>
      </c>
      <c r="I474" t="str">
        <v>length/s</v>
      </c>
      <c r="J474"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  <c r="O474" t="str">
        <v>Ongoing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>
        <f>H475*J475</f>
        <v>0</v>
      </c>
      <c r="M475">
        <f>K475+L475</f>
        <v>0</v>
      </c>
      <c r="N475">
        <f>M475/43106674.89</f>
        <v>0</v>
      </c>
      <c r="O475" t="str">
        <v/>
      </c>
    </row>
    <row r="476">
      <c r="A476" t="str">
        <v>III.</v>
      </c>
      <c r="B476" t="str">
        <v>Panel Board &amp; Pullbox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>
        <f>H476*J476</f>
        <v>0</v>
      </c>
      <c r="M476">
        <f>K476+L476</f>
        <v>0</v>
      </c>
      <c r="N476">
        <f>M476/43106674.89</f>
        <v>0</v>
      </c>
      <c r="O476" t="str">
        <v/>
      </c>
    </row>
    <row r="477">
      <c r="A477" t="str">
        <v/>
      </c>
      <c r="B477" t="str">
        <v>DP-Main</v>
      </c>
      <c r="C477" t="str">
        <v>Assy</v>
      </c>
      <c r="D477">
        <v>1</v>
      </c>
      <c r="E477">
        <v>772225.4500000001</v>
      </c>
      <c r="F477">
        <v>772225.4500000001</v>
      </c>
      <c r="G477">
        <v>0.01791428942201113</v>
      </c>
      <c r="H477" t="str">
        <v/>
      </c>
      <c r="I477" t="str">
        <v>Assy</v>
      </c>
      <c r="J477">
        <v>0</v>
      </c>
      <c r="K477">
        <v>0</v>
      </c>
      <c r="L477">
        <v>0</v>
      </c>
      <c r="M477">
        <v>0</v>
      </c>
      <c r="N477">
        <v>0</v>
      </c>
      <c r="O477" t="str">
        <v>Ongoing</v>
      </c>
    </row>
    <row r="478">
      <c r="A478" t="str">
        <v/>
      </c>
      <c r="B478" t="str">
        <v>Main CB: 1200AT, 3P, 230V, 60Hz, Bolt-on Nema12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>
        <f>H478*J478</f>
        <v>0</v>
      </c>
      <c r="M478">
        <f>K478+L478</f>
        <v>0</v>
      </c>
      <c r="N478">
        <f>M478/43106674.89</f>
        <v>0</v>
      </c>
      <c r="O478" t="str">
        <v/>
      </c>
    </row>
    <row r="479">
      <c r="A479" t="str">
        <v/>
      </c>
      <c r="B479" t="str">
        <v>Branches: 1 - 700AT, 3P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>
        <f>H479*J479</f>
        <v>0</v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 xml:space="preserve">4 - 125AT, 3P 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>
        <f>H480*J480</f>
        <v>0</v>
      </c>
      <c r="M480">
        <f>K480+L480</f>
        <v>0</v>
      </c>
      <c r="N480">
        <f>M480/43106674.89</f>
        <v>0</v>
      </c>
      <c r="O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0.002918970445321674</v>
      </c>
      <c r="H482" t="str">
        <v/>
      </c>
      <c r="I482" t="str">
        <v>Assy</v>
      </c>
      <c r="J482"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>
        <f>H483*J483</f>
        <v>0</v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>
        <f>H486*J486</f>
        <v>0</v>
      </c>
      <c r="M486">
        <f>K486+L486</f>
        <v>0</v>
      </c>
      <c r="N486">
        <f>M486/43106674.89</f>
        <v>0</v>
      </c>
      <c r="O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>PP-System B</v>
      </c>
      <c r="C488" t="str">
        <v>Assy</v>
      </c>
      <c r="D488">
        <v>1</v>
      </c>
      <c r="E488">
        <v>135268.13</v>
      </c>
      <c r="F488">
        <v>135268.13</v>
      </c>
      <c r="G488">
        <v>0.0031379857143975587</v>
      </c>
      <c r="H488" t="str">
        <v/>
      </c>
      <c r="I488" t="str">
        <v>Assy</v>
      </c>
      <c r="J488">
        <v>0</v>
      </c>
      <c r="K488">
        <v>0</v>
      </c>
      <c r="L488">
        <v>0</v>
      </c>
      <c r="M488">
        <v>0</v>
      </c>
      <c r="N488">
        <v>0</v>
      </c>
      <c r="O488" t="str">
        <v>Ongoing</v>
      </c>
    </row>
    <row r="489">
      <c r="A489" t="str">
        <v/>
      </c>
      <c r="B489" t="str">
        <v>Main CB: 125AT, 3P, 230V, 60Hz, Bolt-on Nema12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>Branches: 1 - 40AT, 3P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2 - 40AT,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>
        <f>H491*J491</f>
        <v>0</v>
      </c>
      <c r="M491">
        <f>K491+L491</f>
        <v>0</v>
      </c>
      <c r="N491">
        <f>M491/43106674.89</f>
        <v>0</v>
      </c>
      <c r="O491" t="str">
        <v/>
      </c>
    </row>
    <row r="492">
      <c r="A492" t="str">
        <v/>
      </c>
      <c r="B492" t="str">
        <v xml:space="preserve">11 - 30AT, 2P 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PP-System C</v>
      </c>
      <c r="C494" t="str">
        <v>Assy</v>
      </c>
      <c r="D494">
        <v>1</v>
      </c>
      <c r="E494">
        <v>120190.81999999999</v>
      </c>
      <c r="F494">
        <v>120190.81999999999</v>
      </c>
      <c r="G494">
        <v>0.0027882183050932123</v>
      </c>
      <c r="H494" t="str">
        <v/>
      </c>
      <c r="I494" t="str">
        <v>Assy</v>
      </c>
      <c r="J494">
        <v>0</v>
      </c>
      <c r="K494">
        <v>0</v>
      </c>
      <c r="L494">
        <v>0</v>
      </c>
      <c r="M494">
        <v>0</v>
      </c>
      <c r="N494">
        <v>0</v>
      </c>
      <c r="O494" t="str">
        <v>Ongoing</v>
      </c>
    </row>
    <row r="495">
      <c r="A495" t="str">
        <v/>
      </c>
      <c r="B495" t="str">
        <v>Main CB: 125AT, 3P, 230V, 60Hz, Bolt-on Nema12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>Branches: 2 - 40AT, 3P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 xml:space="preserve">7 - 40AT, 2P 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>
        <f>H497*J497</f>
        <v>0</v>
      </c>
      <c r="M497">
        <f>K497+L497</f>
        <v>0</v>
      </c>
      <c r="N497">
        <f>M497/43106674.89</f>
        <v>0</v>
      </c>
      <c r="O497" t="str">
        <v/>
      </c>
    </row>
    <row r="498">
      <c r="A498" t="str">
        <v/>
      </c>
      <c r="B498" t="str">
        <v xml:space="preserve">5 - 30AT, 2P 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>PP-System D</v>
      </c>
      <c r="C500" t="str">
        <v>Assy</v>
      </c>
      <c r="D500">
        <v>1</v>
      </c>
      <c r="E500">
        <v>131472.25</v>
      </c>
      <c r="F500">
        <v>131472.25</v>
      </c>
      <c r="G500">
        <v>0.003049927890181556</v>
      </c>
      <c r="H500" t="str">
        <v/>
      </c>
      <c r="I500" t="str">
        <v>Assy</v>
      </c>
      <c r="J500">
        <v>0</v>
      </c>
      <c r="K500">
        <v>0</v>
      </c>
      <c r="L500">
        <v>0</v>
      </c>
      <c r="M500">
        <v>0</v>
      </c>
      <c r="N500">
        <v>0</v>
      </c>
      <c r="O500" t="str">
        <v>Ongoing</v>
      </c>
    </row>
    <row r="501">
      <c r="A501" t="str">
        <v/>
      </c>
      <c r="B501" t="str">
        <v>Main CB: 125AT, 3P, 230V, 60Hz, Bolt-on Nema12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Branches: 3 - 40AT, 3P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 xml:space="preserve">4 - 40AT, 2P 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>
        <f>H503*J503</f>
        <v>0</v>
      </c>
      <c r="M503">
        <f>K503+L503</f>
        <v>0</v>
      </c>
      <c r="N503">
        <f>M503/43106674.89</f>
        <v>0</v>
      </c>
      <c r="O503" t="str">
        <v/>
      </c>
    </row>
    <row r="504">
      <c r="A504" t="str">
        <v/>
      </c>
      <c r="B504" t="str">
        <v xml:space="preserve">8 - 30AT, 2P 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/>
      </c>
      <c r="B506" t="str">
        <v>PP-Outdoor</v>
      </c>
      <c r="C506" t="str">
        <v>Assy</v>
      </c>
      <c r="D506">
        <v>1</v>
      </c>
      <c r="E506">
        <v>473575.57</v>
      </c>
      <c r="F506">
        <v>473575.57</v>
      </c>
      <c r="G506">
        <v>0.010986130830282648</v>
      </c>
      <c r="H506" t="str">
        <v/>
      </c>
      <c r="I506" t="str">
        <v>Assy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Ongoing</v>
      </c>
    </row>
    <row r="507">
      <c r="A507" t="str">
        <v/>
      </c>
      <c r="B507" t="str">
        <v>Main CB: 700AT, 3P, 230V, 60Hz, Bolt-on Nema12</v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</row>
    <row r="508">
      <c r="A508" t="str">
        <v/>
      </c>
      <c r="B508" t="str">
        <v>Branches: 4 - 150AT, 3P</v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>
        <f>H509*J509</f>
        <v>0</v>
      </c>
      <c r="M509">
        <f>K509+L509</f>
        <v>0</v>
      </c>
      <c r="N509">
        <f>M509/43106674.89</f>
        <v>0</v>
      </c>
      <c r="O509" t="str">
        <v/>
      </c>
    </row>
    <row r="510">
      <c r="A510" t="str">
        <v/>
      </c>
      <c r="B510" t="str">
        <v>Transformer</v>
      </c>
      <c r="C510" t="str">
        <v>Assy</v>
      </c>
      <c r="D510">
        <v>1</v>
      </c>
      <c r="E510">
        <v>932598.8200000001</v>
      </c>
      <c r="F510">
        <v>932598.8200000001</v>
      </c>
      <c r="G510">
        <v>0.021634673107582846</v>
      </c>
      <c r="H510" t="str">
        <v/>
      </c>
      <c r="I510" t="str">
        <v>Assy</v>
      </c>
      <c r="J510">
        <v>0</v>
      </c>
      <c r="K510">
        <v>0</v>
      </c>
      <c r="L510">
        <v>0</v>
      </c>
      <c r="M510">
        <v>0</v>
      </c>
      <c r="N510">
        <v>0</v>
      </c>
      <c r="O510" t="str">
        <v>Ongoing</v>
      </c>
    </row>
    <row r="511" xml:space="preserve">
      <c r="A511" t="str">
        <v/>
      </c>
      <c r="B511" t="str" xml:space="preserve">
        <v xml:space="preserve">500KVA Step Down Dry Type Transformer, 480V to 230V, 3P_x000d_
Floor mounted, Indoor Type, 60Hz, Nema1 "TRANSPHIL"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</row>
    <row r="513">
      <c r="A513" t="str">
        <v/>
      </c>
      <c r="B513" t="str">
        <v>ECB 1250AT Nema 12</v>
      </c>
      <c r="C513" t="str">
        <v>pc</v>
      </c>
      <c r="D513">
        <v>1</v>
      </c>
      <c r="E513">
        <v>302047.59</v>
      </c>
      <c r="F513">
        <v>302047.59</v>
      </c>
      <c r="G513">
        <v>0.007006979563391694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</row>
    <row r="515">
      <c r="A515" t="str">
        <v/>
      </c>
      <c r="B515" t="str">
        <v>Pullbox (350mm x 350mm x 200mm)</v>
      </c>
      <c r="C515" t="str">
        <v>pc</v>
      </c>
      <c r="D515">
        <v>5</v>
      </c>
      <c r="E515">
        <v>5538.24</v>
      </c>
      <c r="F515">
        <v>27691.199999999997</v>
      </c>
      <c r="G515">
        <v>0.0006423877524922217</v>
      </c>
      <c r="H515" t="str">
        <v/>
      </c>
      <c r="I515" t="str">
        <v>pc</v>
      </c>
      <c r="J515"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  <c r="O515" t="str">
        <v>Ongoing</v>
      </c>
    </row>
    <row r="516">
      <c r="A516" t="str">
        <v/>
      </c>
      <c r="B516" t="str">
        <v>Wire Gutter</v>
      </c>
      <c r="C516" t="str">
        <v>lot</v>
      </c>
      <c r="D516">
        <v>1</v>
      </c>
      <c r="E516">
        <v>32074.68</v>
      </c>
      <c r="F516">
        <v>32074.68</v>
      </c>
      <c r="G516">
        <v>0.0007440768763039237</v>
      </c>
      <c r="H516" t="str">
        <v/>
      </c>
      <c r="I516" t="str">
        <v>lot</v>
      </c>
      <c r="J516" t="str">
        <v/>
      </c>
      <c r="K516">
        <v>0</v>
      </c>
      <c r="L516">
        <v>0</v>
      </c>
      <c r="M516">
        <v>0</v>
      </c>
      <c r="N516">
        <v>0</v>
      </c>
      <c r="O516" t="str">
        <v>Ongoing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</row>
    <row r="518">
      <c r="A518" t="str">
        <v>IV.</v>
      </c>
      <c r="B518" t="str">
        <v>Mechanical System Power Supply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/>
      </c>
      <c r="B519" t="str">
        <v>ECB's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>
        <f>H519*J519</f>
        <v>0</v>
      </c>
      <c r="M519">
        <f>K519+L519</f>
        <v>0</v>
      </c>
      <c r="N519">
        <f>M519/43106674.89</f>
        <v>0</v>
      </c>
      <c r="O519" t="str">
        <v/>
      </c>
    </row>
    <row r="520">
      <c r="A520" t="str">
        <v/>
      </c>
      <c r="B520" t="str">
        <v>ECB 150AT, 3P, 230V, Nema3R</v>
      </c>
      <c r="C520" t="str">
        <v>pc</v>
      </c>
      <c r="D520">
        <v>4</v>
      </c>
      <c r="E520">
        <v>29019.109999999993</v>
      </c>
      <c r="F520">
        <v>116076.43999999997</v>
      </c>
      <c r="G520">
        <v>0.002692771833972461</v>
      </c>
      <c r="H520" t="str">
        <v/>
      </c>
      <c r="I520" t="str">
        <v>pc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ECB 40AT, 3P, 230V, Nema3R</v>
      </c>
      <c r="C521" t="str">
        <v>pc</v>
      </c>
      <c r="D521">
        <v>7</v>
      </c>
      <c r="E521">
        <v>11083.84</v>
      </c>
      <c r="F521">
        <v>77586.88</v>
      </c>
      <c r="G521">
        <v>0.0017998808815105059</v>
      </c>
      <c r="H521" t="str">
        <v/>
      </c>
      <c r="I521" t="str">
        <v>pc</v>
      </c>
      <c r="J521">
        <v>0</v>
      </c>
      <c r="K521">
        <v>0</v>
      </c>
      <c r="L521">
        <v>0</v>
      </c>
      <c r="M521">
        <v>0</v>
      </c>
      <c r="N521">
        <v>0</v>
      </c>
      <c r="O521" t="str">
        <v>Ongoing</v>
      </c>
    </row>
    <row r="522">
      <c r="A522" t="str">
        <v/>
      </c>
      <c r="B522" t="str">
        <v>ECB 40AT, 2P, 230V, Nema3R</v>
      </c>
      <c r="C522" t="str">
        <v>pc</v>
      </c>
      <c r="D522">
        <v>16</v>
      </c>
      <c r="E522">
        <v>9429.220000000001</v>
      </c>
      <c r="F522">
        <v>150867.52000000002</v>
      </c>
      <c r="G522">
        <v>0.003499864473077199</v>
      </c>
      <c r="H522" t="str">
        <v/>
      </c>
      <c r="I522" t="str">
        <v>pc</v>
      </c>
      <c r="J522"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  <c r="O522" t="str">
        <v>Ongoing</v>
      </c>
    </row>
    <row r="523">
      <c r="A523" t="str">
        <v/>
      </c>
      <c r="B523" t="str">
        <v>ECB 30AT, 2P, 230V, Nema3R</v>
      </c>
      <c r="C523" t="str">
        <v>pc</v>
      </c>
      <c r="D523">
        <v>23</v>
      </c>
      <c r="E523">
        <v>9429.22</v>
      </c>
      <c r="F523">
        <v>216872.06</v>
      </c>
      <c r="G523">
        <v>0.005031055180048472</v>
      </c>
      <c r="H523" t="str">
        <v/>
      </c>
      <c r="I523" t="str">
        <v>pc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Roughing-ins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>
        <f>H524*J524</f>
        <v>0</v>
      </c>
      <c r="M524">
        <f>K524+L524</f>
        <v>0</v>
      </c>
      <c r="N524">
        <f>M524/43106674.89</f>
        <v>0</v>
      </c>
      <c r="O524" t="str">
        <v/>
      </c>
    </row>
    <row r="525">
      <c r="A525" t="str">
        <v/>
      </c>
      <c r="B525" t="str">
        <v>40mm dia. IMC</v>
      </c>
      <c r="C525" t="str">
        <v>length/s</v>
      </c>
      <c r="D525">
        <v>49</v>
      </c>
      <c r="E525">
        <v>2672.9</v>
      </c>
      <c r="F525">
        <v>130972.1</v>
      </c>
      <c r="G525">
        <v>0.00303832527872344</v>
      </c>
      <c r="H525" t="str">
        <v/>
      </c>
      <c r="I525" t="str">
        <v>length/s</v>
      </c>
      <c r="J525">
        <v>0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/>
      </c>
      <c r="B526" t="str">
        <v>25mm dia. IMC</v>
      </c>
      <c r="C526" t="str">
        <v>length/s</v>
      </c>
      <c r="D526">
        <v>1003</v>
      </c>
      <c r="E526">
        <v>1753.43</v>
      </c>
      <c r="F526">
        <v>1758690.29</v>
      </c>
      <c r="G526">
        <v>0.040798560651867516</v>
      </c>
      <c r="H526" t="str">
        <v/>
      </c>
      <c r="I526" t="str">
        <v>length/s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/>
      </c>
      <c r="B527" t="str">
        <v>Boxes</v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</row>
    <row r="528">
      <c r="A528" t="str">
        <v/>
      </c>
      <c r="B528" t="str">
        <v>Junction boxes with cover</v>
      </c>
      <c r="C528" t="str">
        <v>pc/s</v>
      </c>
      <c r="D528">
        <v>195</v>
      </c>
      <c r="E528">
        <v>125.85</v>
      </c>
      <c r="F528">
        <v>24540.75</v>
      </c>
      <c r="G528">
        <v>0.0005693027834464916</v>
      </c>
      <c r="H528" t="str">
        <v/>
      </c>
      <c r="I528" t="str">
        <v>pc/s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/>
      </c>
      <c r="B529" t="str">
        <v>Wires</v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>
        <f>H529*J529</f>
        <v>0</v>
      </c>
      <c r="M529">
        <f>K529+L529</f>
        <v>0</v>
      </c>
      <c r="N529">
        <f>M529/43106674.89</f>
        <v>0</v>
      </c>
      <c r="O529" t="str">
        <v/>
      </c>
    </row>
    <row r="530">
      <c r="A530" t="str">
        <v/>
      </c>
      <c r="B530" t="str">
        <v>50mm² THHN</v>
      </c>
      <c r="C530" t="str">
        <v>Lm/s</v>
      </c>
      <c r="D530">
        <v>429</v>
      </c>
      <c r="E530">
        <v>1395.9000000000003</v>
      </c>
      <c r="F530">
        <v>598841.1000000001</v>
      </c>
      <c r="G530">
        <v>0.01389207359482326</v>
      </c>
      <c r="H530" t="str">
        <v/>
      </c>
      <c r="I530" t="str">
        <v>Lm/s</v>
      </c>
      <c r="J530"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A531" t="str">
        <v/>
      </c>
      <c r="B531" t="str">
        <v>5.5mm² THHN</v>
      </c>
      <c r="C531" t="str">
        <v>Lm/s</v>
      </c>
      <c r="D531">
        <v>6798</v>
      </c>
      <c r="E531">
        <v>144.13</v>
      </c>
      <c r="F531">
        <v>979795.74</v>
      </c>
      <c r="G531">
        <v>0.022729559691167345</v>
      </c>
      <c r="H531" t="str">
        <v/>
      </c>
      <c r="I531" t="str">
        <v>Lm/s</v>
      </c>
      <c r="J531"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  <c r="O531" t="str">
        <v>Ongoing</v>
      </c>
    </row>
    <row r="532">
      <c r="A532" t="str">
        <v/>
      </c>
      <c r="B532" t="str">
        <v>for ground:</v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>
        <f>H532*J532</f>
        <v>0</v>
      </c>
      <c r="M532">
        <f>K532+L532</f>
        <v>0</v>
      </c>
      <c r="N532">
        <f>M532/43106674.89</f>
        <v>0</v>
      </c>
      <c r="O532" t="str">
        <v/>
      </c>
    </row>
    <row r="533">
      <c r="A533" t="str">
        <v/>
      </c>
      <c r="B533" t="str">
        <v>14mm² THHN</v>
      </c>
      <c r="C533" t="str">
        <v>Lm/s</v>
      </c>
      <c r="D533">
        <v>143</v>
      </c>
      <c r="E533">
        <v>358.86999999999995</v>
      </c>
      <c r="F533">
        <v>51318.40999999999</v>
      </c>
      <c r="G533">
        <v>0.0011904979943582925</v>
      </c>
      <c r="H533" t="str">
        <v/>
      </c>
      <c r="I533" t="str">
        <v>Lm/s</v>
      </c>
      <c r="J533">
        <v>0</v>
      </c>
      <c r="K533">
        <v>0</v>
      </c>
      <c r="L533">
        <v>0</v>
      </c>
      <c r="M533">
        <v>0</v>
      </c>
      <c r="N533">
        <v>0</v>
      </c>
      <c r="O533" t="str">
        <v>Ongoing</v>
      </c>
    </row>
    <row r="534">
      <c r="A534" t="str">
        <v/>
      </c>
      <c r="B534" t="str">
        <v>5.5mm² THHN</v>
      </c>
      <c r="C534" t="str">
        <v>Lm/s</v>
      </c>
      <c r="D534">
        <v>3185</v>
      </c>
      <c r="E534">
        <v>144.13000000000002</v>
      </c>
      <c r="F534">
        <v>459054.0500000001</v>
      </c>
      <c r="G534">
        <v>0.010649256783814065</v>
      </c>
      <c r="H534" t="str">
        <v/>
      </c>
      <c r="I534" t="str">
        <v>Lm/s</v>
      </c>
      <c r="J534"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  <c r="O534" t="str">
        <v>Ongoing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>
        <f>H535*J535</f>
        <v>0</v>
      </c>
      <c r="M535">
        <f>K535+L535</f>
        <v>0</v>
      </c>
      <c r="N535">
        <f>M535/43106674.89</f>
        <v>0</v>
      </c>
      <c r="O535" t="str">
        <v/>
      </c>
    </row>
    <row r="536">
      <c r="A536" t="str">
        <v>V.</v>
      </c>
      <c r="B536" t="str">
        <v>Chipping &amp; Restoration Works (Rough only)</v>
      </c>
      <c r="C536" t="str">
        <v>lot</v>
      </c>
      <c r="D536">
        <v>1</v>
      </c>
      <c r="E536">
        <v>145441.09</v>
      </c>
      <c r="F536">
        <v>145441.09</v>
      </c>
      <c r="G536">
        <v>0.0033739807204136675</v>
      </c>
      <c r="H536">
        <v>1</v>
      </c>
      <c r="I536" t="str">
        <v>lot</v>
      </c>
      <c r="J536" t="str">
        <v/>
      </c>
      <c r="K536">
        <v>0</v>
      </c>
      <c r="L536">
        <v>0</v>
      </c>
      <c r="M536">
        <v>0</v>
      </c>
      <c r="N536">
        <v>0</v>
      </c>
      <c r="O536" t="str">
        <v>Ongoing</v>
      </c>
    </row>
    <row r="537">
      <c r="A537" t="str">
        <v>VI.</v>
      </c>
      <c r="B537" t="str">
        <v>Hangers &amp; Supports</v>
      </c>
      <c r="C537" t="str">
        <v>lot</v>
      </c>
      <c r="D537">
        <v>1</v>
      </c>
      <c r="E537">
        <v>174529.31</v>
      </c>
      <c r="F537">
        <v>174529.31</v>
      </c>
      <c r="G537">
        <v>0.0040487769108929275</v>
      </c>
      <c r="H537">
        <v>1</v>
      </c>
      <c r="I537" t="str">
        <v>lot</v>
      </c>
      <c r="J537" t="str">
        <v/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  <c r="O537" t="str">
        <v>Ongoing</v>
      </c>
    </row>
    <row r="538">
      <c r="A538" t="str">
        <v>VII.</v>
      </c>
      <c r="B538" t="str">
        <v>Miscelleneuos</v>
      </c>
      <c r="C538" t="str">
        <v>lot</v>
      </c>
      <c r="D538">
        <v>1</v>
      </c>
      <c r="E538">
        <v>87264.66</v>
      </c>
      <c r="F538">
        <v>87264.66</v>
      </c>
      <c r="G538">
        <v>0.002024388571437781</v>
      </c>
      <c r="H538">
        <v>1</v>
      </c>
      <c r="I538" t="str">
        <v>lot</v>
      </c>
      <c r="J538" t="str">
        <v/>
      </c>
      <c r="K538">
        <v>0</v>
      </c>
      <c r="L538">
        <v>0</v>
      </c>
      <c r="M538">
        <v>0</v>
      </c>
      <c r="N538">
        <v>0</v>
      </c>
      <c r="O538" t="str">
        <v>Ongoing</v>
      </c>
    </row>
    <row r="539">
      <c r="A539" t="str">
        <v>VIII.</v>
      </c>
      <c r="B539" t="str">
        <v>Testing &amp; Commissioning</v>
      </c>
      <c r="C539" t="str">
        <v>lot</v>
      </c>
      <c r="D539">
        <v>1</v>
      </c>
      <c r="E539">
        <v>884818.61</v>
      </c>
      <c r="F539">
        <v>884818.61</v>
      </c>
      <c r="G539">
        <v>0.020526255208918057</v>
      </c>
      <c r="H539">
        <v>1</v>
      </c>
      <c r="I539" t="str">
        <v>lot</v>
      </c>
      <c r="J539" t="str">
        <v/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  <c r="O539" t="str">
        <v>Ongoing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>
        <f>H540*J540</f>
        <v>0</v>
      </c>
      <c r="M540">
        <f>K540+L540</f>
        <v>0</v>
      </c>
      <c r="N540">
        <f>M540/43106674.89</f>
        <v>0</v>
      </c>
      <c r="O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/>
      </c>
      <c r="B542" t="str">
        <v>TOTAL PROJECT COST</v>
      </c>
      <c r="C542" t="str">
        <v/>
      </c>
      <c r="D542" t="str">
        <v/>
      </c>
      <c r="E542" t="str">
        <v/>
      </c>
      <c r="F542">
        <v>43106674.890000015</v>
      </c>
      <c r="G542">
        <v>1</v>
      </c>
      <c r="H542" t="str">
        <v/>
      </c>
      <c r="I542" t="str">
        <v/>
      </c>
      <c r="J542"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  <c r="O542" t="str">
        <v>Ongoing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2026-06-22T19:46:27Z</dcterms:modified>
  <cp:lastModifiedBy>j burns diagono</cp:lastModifiedBy>
  <cp:lastPrinted>2026-06-08T18:29:50Z</cp:lastPrinted>
  <dc:creator>openpyxl</dc:creator>
</cp:coreProperties>
</file>