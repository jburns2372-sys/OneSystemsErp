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JD SOFTWARE PROJECTS\PGH-PMS\pgh_files\"/>
    </mc:Choice>
  </mc:AlternateContent>
  <xr:revisionPtr revIDLastSave="0" documentId="13_ncr:1_{77093E55-535D-46C6-9356-55BFE9991515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43" i="1" l="1"/>
  <c r="J542" i="1"/>
  <c r="J540" i="1"/>
  <c r="J539" i="1"/>
  <c r="J537" i="1"/>
  <c r="J535" i="1"/>
  <c r="J534" i="1"/>
  <c r="J532" i="1"/>
  <c r="J531" i="1"/>
  <c r="J530" i="1"/>
  <c r="J529" i="1"/>
  <c r="J524" i="1"/>
  <c r="J522" i="1"/>
  <c r="J519" i="1"/>
  <c r="J515" i="1"/>
  <c r="J509" i="1"/>
  <c r="J503" i="1"/>
  <c r="J497" i="1"/>
  <c r="J491" i="1"/>
  <c r="J486" i="1"/>
  <c r="J483" i="1"/>
  <c r="J482" i="1"/>
  <c r="J480" i="1"/>
  <c r="J479" i="1"/>
  <c r="J478" i="1"/>
  <c r="J476" i="1"/>
  <c r="J475" i="1"/>
  <c r="J474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2" i="1"/>
  <c r="J441" i="1"/>
  <c r="J439" i="1"/>
  <c r="J438" i="1"/>
  <c r="J437" i="1"/>
  <c r="J436" i="1"/>
  <c r="J434" i="1"/>
  <c r="J433" i="1"/>
  <c r="J432" i="1"/>
  <c r="J428" i="1"/>
  <c r="J427" i="1"/>
  <c r="J426" i="1"/>
  <c r="J425" i="1"/>
  <c r="J424" i="1"/>
  <c r="J423" i="1"/>
  <c r="J420" i="1"/>
  <c r="J417" i="1"/>
  <c r="J416" i="1"/>
  <c r="L416" i="1" s="1"/>
  <c r="M416" i="1" s="1"/>
  <c r="N416" i="1" s="1"/>
  <c r="J413" i="1"/>
  <c r="L413" i="1" s="1"/>
  <c r="M413" i="1" s="1"/>
  <c r="N413" i="1" s="1"/>
  <c r="J412" i="1"/>
  <c r="L412" i="1" s="1"/>
  <c r="M412" i="1" s="1"/>
  <c r="N412" i="1" s="1"/>
  <c r="J409" i="1"/>
  <c r="L409" i="1" s="1"/>
  <c r="M409" i="1" s="1"/>
  <c r="N409" i="1" s="1"/>
  <c r="J405" i="1"/>
  <c r="L405" i="1" s="1"/>
  <c r="M405" i="1" s="1"/>
  <c r="N405" i="1" s="1"/>
  <c r="J401" i="1"/>
  <c r="L401" i="1" s="1"/>
  <c r="M401" i="1" s="1"/>
  <c r="N401" i="1" s="1"/>
  <c r="J400" i="1"/>
  <c r="L400" i="1" s="1"/>
  <c r="M400" i="1" s="1"/>
  <c r="N400" i="1" s="1"/>
  <c r="J399" i="1"/>
  <c r="L399" i="1" s="1"/>
  <c r="M399" i="1" s="1"/>
  <c r="N399" i="1" s="1"/>
  <c r="J398" i="1"/>
  <c r="J397" i="1"/>
  <c r="J396" i="1"/>
  <c r="J395" i="1"/>
  <c r="J394" i="1"/>
  <c r="J393" i="1"/>
  <c r="J390" i="1"/>
  <c r="J389" i="1"/>
  <c r="J388" i="1"/>
  <c r="J387" i="1"/>
  <c r="L387" i="1" s="1"/>
  <c r="M387" i="1" s="1"/>
  <c r="N387" i="1" s="1"/>
  <c r="J386" i="1"/>
  <c r="L386" i="1" s="1"/>
  <c r="M386" i="1" s="1"/>
  <c r="N386" i="1" s="1"/>
  <c r="J385" i="1"/>
  <c r="L385" i="1" s="1"/>
  <c r="M385" i="1" s="1"/>
  <c r="N385" i="1" s="1"/>
  <c r="J384" i="1"/>
  <c r="L384" i="1" s="1"/>
  <c r="M384" i="1" s="1"/>
  <c r="N384" i="1" s="1"/>
  <c r="J383" i="1"/>
  <c r="J382" i="1"/>
  <c r="J379" i="1"/>
  <c r="J378" i="1"/>
  <c r="J377" i="1"/>
  <c r="J376" i="1"/>
  <c r="J375" i="1"/>
  <c r="J374" i="1"/>
  <c r="J373" i="1"/>
  <c r="J372" i="1"/>
  <c r="J369" i="1"/>
  <c r="J368" i="1"/>
  <c r="J367" i="1"/>
  <c r="L367" i="1" s="1"/>
  <c r="M367" i="1" s="1"/>
  <c r="N367" i="1" s="1"/>
  <c r="J366" i="1"/>
  <c r="L366" i="1" s="1"/>
  <c r="M366" i="1" s="1"/>
  <c r="N366" i="1" s="1"/>
  <c r="J357" i="1"/>
  <c r="L357" i="1" s="1"/>
  <c r="M357" i="1" s="1"/>
  <c r="N357" i="1" s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L344" i="1" s="1"/>
  <c r="M344" i="1" s="1"/>
  <c r="N344" i="1" s="1"/>
  <c r="J341" i="1"/>
  <c r="L341" i="1" s="1"/>
  <c r="M341" i="1" s="1"/>
  <c r="N341" i="1" s="1"/>
  <c r="J340" i="1"/>
  <c r="L340" i="1" s="1"/>
  <c r="M340" i="1" s="1"/>
  <c r="N340" i="1" s="1"/>
  <c r="J338" i="1"/>
  <c r="L338" i="1" s="1"/>
  <c r="M338" i="1" s="1"/>
  <c r="N338" i="1" s="1"/>
  <c r="J337" i="1"/>
  <c r="J336" i="1"/>
  <c r="J335" i="1"/>
  <c r="J333" i="1"/>
  <c r="J332" i="1"/>
  <c r="J331" i="1"/>
  <c r="J327" i="1"/>
  <c r="J326" i="1"/>
  <c r="J325" i="1"/>
  <c r="J324" i="1"/>
  <c r="J321" i="1"/>
  <c r="J318" i="1"/>
  <c r="J317" i="1"/>
  <c r="L317" i="1" s="1"/>
  <c r="M317" i="1" s="1"/>
  <c r="N317" i="1" s="1"/>
  <c r="J314" i="1"/>
  <c r="L314" i="1" s="1"/>
  <c r="M314" i="1" s="1"/>
  <c r="N314" i="1" s="1"/>
  <c r="J313" i="1"/>
  <c r="L313" i="1" s="1"/>
  <c r="M313" i="1" s="1"/>
  <c r="N313" i="1" s="1"/>
  <c r="J310" i="1"/>
  <c r="J306" i="1"/>
  <c r="J302" i="1"/>
  <c r="J301" i="1"/>
  <c r="J300" i="1"/>
  <c r="J299" i="1"/>
  <c r="J298" i="1"/>
  <c r="J297" i="1"/>
  <c r="J296" i="1"/>
  <c r="J295" i="1"/>
  <c r="J294" i="1"/>
  <c r="J291" i="1"/>
  <c r="J290" i="1"/>
  <c r="J289" i="1"/>
  <c r="J288" i="1"/>
  <c r="J287" i="1"/>
  <c r="J286" i="1"/>
  <c r="J285" i="1"/>
  <c r="J284" i="1"/>
  <c r="J283" i="1"/>
  <c r="J280" i="1"/>
  <c r="J279" i="1"/>
  <c r="J278" i="1"/>
  <c r="J277" i="1"/>
  <c r="J276" i="1"/>
  <c r="J275" i="1"/>
  <c r="J274" i="1"/>
  <c r="J271" i="1"/>
  <c r="J270" i="1"/>
  <c r="J269" i="1"/>
  <c r="J268" i="1"/>
  <c r="J259" i="1"/>
  <c r="L259" i="1" s="1"/>
  <c r="M259" i="1" s="1"/>
  <c r="N259" i="1" s="1"/>
  <c r="J258" i="1"/>
  <c r="L258" i="1" s="1"/>
  <c r="M258" i="1" s="1"/>
  <c r="N258" i="1" s="1"/>
  <c r="J257" i="1"/>
  <c r="L257" i="1" s="1"/>
  <c r="M257" i="1" s="1"/>
  <c r="N257" i="1" s="1"/>
  <c r="J256" i="1"/>
  <c r="J255" i="1"/>
  <c r="J254" i="1"/>
  <c r="L254" i="1" s="1"/>
  <c r="M254" i="1" s="1"/>
  <c r="N254" i="1" s="1"/>
  <c r="J253" i="1"/>
  <c r="J252" i="1"/>
  <c r="J251" i="1"/>
  <c r="J250" i="1"/>
  <c r="J249" i="1"/>
  <c r="J248" i="1"/>
  <c r="J247" i="1"/>
  <c r="J246" i="1"/>
  <c r="J243" i="1"/>
  <c r="J242" i="1"/>
  <c r="L242" i="1" s="1"/>
  <c r="M242" i="1" s="1"/>
  <c r="N242" i="1" s="1"/>
  <c r="J240" i="1"/>
  <c r="L240" i="1" s="1"/>
  <c r="M240" i="1" s="1"/>
  <c r="N240" i="1" s="1"/>
  <c r="J239" i="1"/>
  <c r="L239" i="1" s="1"/>
  <c r="M239" i="1" s="1"/>
  <c r="N239" i="1" s="1"/>
  <c r="J238" i="1"/>
  <c r="J237" i="1"/>
  <c r="J235" i="1"/>
  <c r="J234" i="1"/>
  <c r="L234" i="1" s="1"/>
  <c r="M234" i="1" s="1"/>
  <c r="N234" i="1" s="1"/>
  <c r="J233" i="1"/>
  <c r="J229" i="1"/>
  <c r="J228" i="1"/>
  <c r="J227" i="1"/>
  <c r="J226" i="1"/>
  <c r="J225" i="1"/>
  <c r="J222" i="1"/>
  <c r="J219" i="1"/>
  <c r="J218" i="1"/>
  <c r="L218" i="1" s="1"/>
  <c r="M218" i="1" s="1"/>
  <c r="N218" i="1" s="1"/>
  <c r="J215" i="1"/>
  <c r="L215" i="1" s="1"/>
  <c r="M215" i="1" s="1"/>
  <c r="N215" i="1" s="1"/>
  <c r="J214" i="1"/>
  <c r="L214" i="1" s="1"/>
  <c r="M214" i="1" s="1"/>
  <c r="N214" i="1" s="1"/>
  <c r="J211" i="1"/>
  <c r="L211" i="1" s="1"/>
  <c r="M211" i="1" s="1"/>
  <c r="N211" i="1" s="1"/>
  <c r="J207" i="1"/>
  <c r="L207" i="1" s="1"/>
  <c r="M207" i="1" s="1"/>
  <c r="N207" i="1" s="1"/>
  <c r="J203" i="1"/>
  <c r="J202" i="1"/>
  <c r="J201" i="1"/>
  <c r="J200" i="1"/>
  <c r="J199" i="1"/>
  <c r="J198" i="1"/>
  <c r="J197" i="1"/>
  <c r="J196" i="1"/>
  <c r="J195" i="1"/>
  <c r="J192" i="1"/>
  <c r="J191" i="1"/>
  <c r="J190" i="1"/>
  <c r="L190" i="1" s="1"/>
  <c r="M190" i="1" s="1"/>
  <c r="N190" i="1" s="1"/>
  <c r="J189" i="1"/>
  <c r="L189" i="1" s="1"/>
  <c r="M189" i="1" s="1"/>
  <c r="N189" i="1" s="1"/>
  <c r="J188" i="1"/>
  <c r="L188" i="1" s="1"/>
  <c r="M188" i="1" s="1"/>
  <c r="N188" i="1" s="1"/>
  <c r="J187" i="1"/>
  <c r="L187" i="1" s="1"/>
  <c r="M187" i="1" s="1"/>
  <c r="N187" i="1" s="1"/>
  <c r="J186" i="1"/>
  <c r="L186" i="1" s="1"/>
  <c r="M186" i="1" s="1"/>
  <c r="N186" i="1" s="1"/>
  <c r="J185" i="1"/>
  <c r="J184" i="1"/>
  <c r="L184" i="1" s="1"/>
  <c r="M184" i="1" s="1"/>
  <c r="N184" i="1" s="1"/>
  <c r="J181" i="1"/>
  <c r="L181" i="1" s="1"/>
  <c r="M181" i="1" s="1"/>
  <c r="N181" i="1" s="1"/>
  <c r="J180" i="1"/>
  <c r="J179" i="1"/>
  <c r="J178" i="1"/>
  <c r="J177" i="1"/>
  <c r="J176" i="1"/>
  <c r="J175" i="1"/>
  <c r="J171" i="1"/>
  <c r="J170" i="1"/>
  <c r="J169" i="1"/>
  <c r="L169" i="1" s="1"/>
  <c r="M169" i="1" s="1"/>
  <c r="N169" i="1" s="1"/>
  <c r="J168" i="1"/>
  <c r="L168" i="1" s="1"/>
  <c r="M168" i="1" s="1"/>
  <c r="N168" i="1" s="1"/>
  <c r="J159" i="1"/>
  <c r="L159" i="1" s="1"/>
  <c r="M159" i="1" s="1"/>
  <c r="N159" i="1" s="1"/>
  <c r="J158" i="1"/>
  <c r="L158" i="1" s="1"/>
  <c r="M158" i="1" s="1"/>
  <c r="N158" i="1" s="1"/>
  <c r="J157" i="1"/>
  <c r="L157" i="1" s="1"/>
  <c r="M157" i="1" s="1"/>
  <c r="N157" i="1" s="1"/>
  <c r="J156" i="1"/>
  <c r="J155" i="1"/>
  <c r="J154" i="1"/>
  <c r="J153" i="1"/>
  <c r="J152" i="1"/>
  <c r="J151" i="1"/>
  <c r="J150" i="1"/>
  <c r="J149" i="1"/>
  <c r="J148" i="1"/>
  <c r="J147" i="1"/>
  <c r="J146" i="1"/>
  <c r="J143" i="1"/>
  <c r="L143" i="1" s="1"/>
  <c r="M143" i="1" s="1"/>
  <c r="N143" i="1" s="1"/>
  <c r="J142" i="1"/>
  <c r="L142" i="1" s="1"/>
  <c r="M142" i="1" s="1"/>
  <c r="N142" i="1" s="1"/>
  <c r="J140" i="1"/>
  <c r="L140" i="1" s="1"/>
  <c r="M140" i="1" s="1"/>
  <c r="N140" i="1" s="1"/>
  <c r="J139" i="1"/>
  <c r="L139" i="1" s="1"/>
  <c r="M139" i="1" s="1"/>
  <c r="N139" i="1" s="1"/>
  <c r="J138" i="1"/>
  <c r="L138" i="1" s="1"/>
  <c r="M138" i="1" s="1"/>
  <c r="N138" i="1" s="1"/>
  <c r="J137" i="1"/>
  <c r="J135" i="1"/>
  <c r="J134" i="1"/>
  <c r="J133" i="1"/>
  <c r="J129" i="1"/>
  <c r="J128" i="1"/>
  <c r="J127" i="1"/>
  <c r="J126" i="1"/>
  <c r="J125" i="1"/>
  <c r="J123" i="1"/>
  <c r="J119" i="1"/>
  <c r="J118" i="1"/>
  <c r="L118" i="1" s="1"/>
  <c r="M118" i="1" s="1"/>
  <c r="N118" i="1" s="1"/>
  <c r="J115" i="1"/>
  <c r="L115" i="1" s="1"/>
  <c r="M115" i="1" s="1"/>
  <c r="N115" i="1" s="1"/>
  <c r="J114" i="1"/>
  <c r="L114" i="1" s="1"/>
  <c r="M114" i="1" s="1"/>
  <c r="N114" i="1" s="1"/>
  <c r="J107" i="1"/>
  <c r="L107" i="1" s="1"/>
  <c r="M107" i="1" s="1"/>
  <c r="N107" i="1" s="1"/>
  <c r="J103" i="1"/>
  <c r="J102" i="1"/>
  <c r="J101" i="1"/>
  <c r="J100" i="1"/>
  <c r="L100" i="1" s="1"/>
  <c r="M100" i="1" s="1"/>
  <c r="N100" i="1" s="1"/>
  <c r="J99" i="1"/>
  <c r="J98" i="1"/>
  <c r="J97" i="1"/>
  <c r="J96" i="1"/>
  <c r="J95" i="1"/>
  <c r="J92" i="1"/>
  <c r="J91" i="1"/>
  <c r="J90" i="1"/>
  <c r="J89" i="1"/>
  <c r="L89" i="1" s="1"/>
  <c r="M89" i="1" s="1"/>
  <c r="N89" i="1" s="1"/>
  <c r="J88" i="1"/>
  <c r="L88" i="1" s="1"/>
  <c r="M88" i="1" s="1"/>
  <c r="N88" i="1" s="1"/>
  <c r="J87" i="1"/>
  <c r="L87" i="1" s="1"/>
  <c r="M87" i="1" s="1"/>
  <c r="N87" i="1" s="1"/>
  <c r="J86" i="1"/>
  <c r="L86" i="1" s="1"/>
  <c r="M86" i="1" s="1"/>
  <c r="N86" i="1" s="1"/>
  <c r="J85" i="1"/>
  <c r="J84" i="1"/>
  <c r="J80" i="1"/>
  <c r="J79" i="1"/>
  <c r="J78" i="1"/>
  <c r="J77" i="1"/>
  <c r="J76" i="1"/>
  <c r="J75" i="1"/>
  <c r="J74" i="1"/>
  <c r="J73" i="1"/>
  <c r="J70" i="1"/>
  <c r="J69" i="1"/>
  <c r="J68" i="1"/>
  <c r="L68" i="1" s="1"/>
  <c r="M68" i="1" s="1"/>
  <c r="N68" i="1" s="1"/>
  <c r="J67" i="1"/>
  <c r="L67" i="1" s="1"/>
  <c r="M67" i="1" s="1"/>
  <c r="N67" i="1" s="1"/>
  <c r="K551" i="1"/>
  <c r="L548" i="1"/>
  <c r="M548" i="1" s="1"/>
  <c r="N548" i="1" s="1"/>
  <c r="L547" i="1"/>
  <c r="M547" i="1" s="1"/>
  <c r="N547" i="1" s="1"/>
  <c r="L546" i="1"/>
  <c r="M546" i="1" s="1"/>
  <c r="N546" i="1" s="1"/>
  <c r="L545" i="1"/>
  <c r="M545" i="1" s="1"/>
  <c r="N545" i="1" s="1"/>
  <c r="L543" i="1"/>
  <c r="M543" i="1" s="1"/>
  <c r="N543" i="1" s="1"/>
  <c r="L542" i="1"/>
  <c r="M542" i="1" s="1"/>
  <c r="N542" i="1" s="1"/>
  <c r="L540" i="1"/>
  <c r="M540" i="1" s="1"/>
  <c r="N540" i="1" s="1"/>
  <c r="L539" i="1"/>
  <c r="M539" i="1" s="1"/>
  <c r="N539" i="1" s="1"/>
  <c r="L537" i="1"/>
  <c r="M537" i="1" s="1"/>
  <c r="N537" i="1" s="1"/>
  <c r="L535" i="1"/>
  <c r="M535" i="1" s="1"/>
  <c r="N535" i="1" s="1"/>
  <c r="L534" i="1"/>
  <c r="M534" i="1" s="1"/>
  <c r="N534" i="1" s="1"/>
  <c r="L532" i="1"/>
  <c r="M532" i="1" s="1"/>
  <c r="N532" i="1" s="1"/>
  <c r="L531" i="1"/>
  <c r="M531" i="1" s="1"/>
  <c r="N531" i="1" s="1"/>
  <c r="L530" i="1"/>
  <c r="M530" i="1" s="1"/>
  <c r="N530" i="1" s="1"/>
  <c r="L529" i="1"/>
  <c r="M529" i="1" s="1"/>
  <c r="N529" i="1" s="1"/>
  <c r="L525" i="1"/>
  <c r="M525" i="1" s="1"/>
  <c r="N525" i="1" s="1"/>
  <c r="L524" i="1"/>
  <c r="M524" i="1" s="1"/>
  <c r="N524" i="1" s="1"/>
  <c r="L522" i="1"/>
  <c r="M522" i="1" s="1"/>
  <c r="N522" i="1" s="1"/>
  <c r="L519" i="1"/>
  <c r="M519" i="1" s="1"/>
  <c r="N519" i="1" s="1"/>
  <c r="L515" i="1"/>
  <c r="M515" i="1" s="1"/>
  <c r="N515" i="1" s="1"/>
  <c r="L509" i="1"/>
  <c r="M509" i="1" s="1"/>
  <c r="N509" i="1" s="1"/>
  <c r="L503" i="1"/>
  <c r="M503" i="1" s="1"/>
  <c r="N503" i="1" s="1"/>
  <c r="L497" i="1"/>
  <c r="M497" i="1" s="1"/>
  <c r="N497" i="1" s="1"/>
  <c r="L491" i="1"/>
  <c r="M491" i="1" s="1"/>
  <c r="N491" i="1" s="1"/>
  <c r="L486" i="1"/>
  <c r="M486" i="1" s="1"/>
  <c r="N486" i="1" s="1"/>
  <c r="L483" i="1"/>
  <c r="M483" i="1" s="1"/>
  <c r="N483" i="1" s="1"/>
  <c r="L482" i="1"/>
  <c r="M482" i="1" s="1"/>
  <c r="N482" i="1" s="1"/>
  <c r="L480" i="1"/>
  <c r="M480" i="1" s="1"/>
  <c r="N480" i="1" s="1"/>
  <c r="L479" i="1"/>
  <c r="M479" i="1" s="1"/>
  <c r="N479" i="1" s="1"/>
  <c r="L478" i="1"/>
  <c r="M478" i="1" s="1"/>
  <c r="N478" i="1" s="1"/>
  <c r="L476" i="1"/>
  <c r="M476" i="1" s="1"/>
  <c r="N476" i="1" s="1"/>
  <c r="L475" i="1"/>
  <c r="M475" i="1" s="1"/>
  <c r="N475" i="1" s="1"/>
  <c r="L474" i="1"/>
  <c r="M474" i="1" s="1"/>
  <c r="N474" i="1" s="1"/>
  <c r="L464" i="1"/>
  <c r="M464" i="1" s="1"/>
  <c r="N464" i="1" s="1"/>
  <c r="L462" i="1"/>
  <c r="M462" i="1" s="1"/>
  <c r="N462" i="1" s="1"/>
  <c r="L460" i="1"/>
  <c r="M460" i="1" s="1"/>
  <c r="N460" i="1" s="1"/>
  <c r="L458" i="1"/>
  <c r="M458" i="1" s="1"/>
  <c r="N458" i="1" s="1"/>
  <c r="L457" i="1"/>
  <c r="M457" i="1" s="1"/>
  <c r="N457" i="1" s="1"/>
  <c r="L456" i="1"/>
  <c r="M456" i="1" s="1"/>
  <c r="N456" i="1" s="1"/>
  <c r="L455" i="1"/>
  <c r="M455" i="1" s="1"/>
  <c r="N455" i="1" s="1"/>
  <c r="L454" i="1"/>
  <c r="M454" i="1" s="1"/>
  <c r="N454" i="1" s="1"/>
  <c r="L453" i="1"/>
  <c r="M453" i="1" s="1"/>
  <c r="N453" i="1" s="1"/>
  <c r="L452" i="1"/>
  <c r="M452" i="1" s="1"/>
  <c r="N452" i="1" s="1"/>
  <c r="L451" i="1"/>
  <c r="M451" i="1" s="1"/>
  <c r="N451" i="1" s="1"/>
  <c r="L450" i="1"/>
  <c r="M450" i="1" s="1"/>
  <c r="N450" i="1" s="1"/>
  <c r="L449" i="1"/>
  <c r="M449" i="1" s="1"/>
  <c r="N449" i="1" s="1"/>
  <c r="M448" i="1"/>
  <c r="N448" i="1" s="1"/>
  <c r="L448" i="1"/>
  <c r="L447" i="1"/>
  <c r="M447" i="1" s="1"/>
  <c r="N447" i="1" s="1"/>
  <c r="L446" i="1"/>
  <c r="M446" i="1" s="1"/>
  <c r="N446" i="1" s="1"/>
  <c r="L445" i="1"/>
  <c r="M445" i="1" s="1"/>
  <c r="N445" i="1" s="1"/>
  <c r="L442" i="1"/>
  <c r="M442" i="1" s="1"/>
  <c r="N442" i="1" s="1"/>
  <c r="L441" i="1"/>
  <c r="M441" i="1" s="1"/>
  <c r="N441" i="1" s="1"/>
  <c r="L439" i="1"/>
  <c r="M439" i="1" s="1"/>
  <c r="N439" i="1" s="1"/>
  <c r="L438" i="1"/>
  <c r="M438" i="1" s="1"/>
  <c r="N438" i="1" s="1"/>
  <c r="L437" i="1"/>
  <c r="M437" i="1" s="1"/>
  <c r="N437" i="1" s="1"/>
  <c r="L436" i="1"/>
  <c r="M436" i="1" s="1"/>
  <c r="N436" i="1" s="1"/>
  <c r="L434" i="1"/>
  <c r="M434" i="1" s="1"/>
  <c r="N434" i="1" s="1"/>
  <c r="L433" i="1"/>
  <c r="M433" i="1" s="1"/>
  <c r="N433" i="1" s="1"/>
  <c r="L432" i="1"/>
  <c r="M432" i="1" s="1"/>
  <c r="N432" i="1" s="1"/>
  <c r="L428" i="1"/>
  <c r="M428" i="1" s="1"/>
  <c r="N428" i="1" s="1"/>
  <c r="L427" i="1"/>
  <c r="M427" i="1" s="1"/>
  <c r="N427" i="1" s="1"/>
  <c r="L426" i="1"/>
  <c r="M426" i="1" s="1"/>
  <c r="N426" i="1" s="1"/>
  <c r="L425" i="1"/>
  <c r="M425" i="1" s="1"/>
  <c r="N425" i="1" s="1"/>
  <c r="L424" i="1"/>
  <c r="M424" i="1" s="1"/>
  <c r="N424" i="1" s="1"/>
  <c r="L423" i="1"/>
  <c r="M423" i="1" s="1"/>
  <c r="N423" i="1" s="1"/>
  <c r="L420" i="1"/>
  <c r="M420" i="1" s="1"/>
  <c r="N420" i="1" s="1"/>
  <c r="L417" i="1"/>
  <c r="M417" i="1" s="1"/>
  <c r="N417" i="1" s="1"/>
  <c r="L407" i="1"/>
  <c r="M407" i="1" s="1"/>
  <c r="N407" i="1" s="1"/>
  <c r="L403" i="1"/>
  <c r="M403" i="1" s="1"/>
  <c r="N403" i="1" s="1"/>
  <c r="L398" i="1"/>
  <c r="M398" i="1" s="1"/>
  <c r="N398" i="1" s="1"/>
  <c r="L397" i="1"/>
  <c r="M397" i="1" s="1"/>
  <c r="N397" i="1" s="1"/>
  <c r="L396" i="1"/>
  <c r="M396" i="1" s="1"/>
  <c r="N396" i="1" s="1"/>
  <c r="L395" i="1"/>
  <c r="M395" i="1" s="1"/>
  <c r="N395" i="1" s="1"/>
  <c r="L394" i="1"/>
  <c r="M394" i="1" s="1"/>
  <c r="N394" i="1" s="1"/>
  <c r="L393" i="1"/>
  <c r="M393" i="1" s="1"/>
  <c r="N393" i="1" s="1"/>
  <c r="L390" i="1"/>
  <c r="M390" i="1" s="1"/>
  <c r="N390" i="1" s="1"/>
  <c r="L389" i="1"/>
  <c r="M389" i="1" s="1"/>
  <c r="N389" i="1" s="1"/>
  <c r="L388" i="1"/>
  <c r="M388" i="1" s="1"/>
  <c r="N388" i="1" s="1"/>
  <c r="L383" i="1"/>
  <c r="M383" i="1" s="1"/>
  <c r="N383" i="1" s="1"/>
  <c r="L382" i="1"/>
  <c r="M382" i="1" s="1"/>
  <c r="N382" i="1" s="1"/>
  <c r="L379" i="1"/>
  <c r="M379" i="1" s="1"/>
  <c r="N379" i="1" s="1"/>
  <c r="L378" i="1"/>
  <c r="M378" i="1" s="1"/>
  <c r="N378" i="1" s="1"/>
  <c r="L377" i="1"/>
  <c r="M377" i="1" s="1"/>
  <c r="N377" i="1" s="1"/>
  <c r="L376" i="1"/>
  <c r="M376" i="1" s="1"/>
  <c r="N376" i="1" s="1"/>
  <c r="L375" i="1"/>
  <c r="M375" i="1" s="1"/>
  <c r="N375" i="1" s="1"/>
  <c r="L374" i="1"/>
  <c r="M374" i="1" s="1"/>
  <c r="N374" i="1" s="1"/>
  <c r="L373" i="1"/>
  <c r="M373" i="1" s="1"/>
  <c r="N373" i="1" s="1"/>
  <c r="L372" i="1"/>
  <c r="M372" i="1" s="1"/>
  <c r="N372" i="1" s="1"/>
  <c r="L369" i="1"/>
  <c r="M369" i="1" s="1"/>
  <c r="N369" i="1" s="1"/>
  <c r="L368" i="1"/>
  <c r="M368" i="1" s="1"/>
  <c r="N368" i="1" s="1"/>
  <c r="L363" i="1"/>
  <c r="M363" i="1" s="1"/>
  <c r="N363" i="1" s="1"/>
  <c r="L361" i="1"/>
  <c r="M361" i="1" s="1"/>
  <c r="N361" i="1" s="1"/>
  <c r="L359" i="1"/>
  <c r="M359" i="1" s="1"/>
  <c r="N359" i="1" s="1"/>
  <c r="L356" i="1"/>
  <c r="M356" i="1" s="1"/>
  <c r="N356" i="1" s="1"/>
  <c r="L355" i="1"/>
  <c r="M355" i="1" s="1"/>
  <c r="N355" i="1" s="1"/>
  <c r="L354" i="1"/>
  <c r="M354" i="1" s="1"/>
  <c r="N354" i="1" s="1"/>
  <c r="L353" i="1"/>
  <c r="M353" i="1" s="1"/>
  <c r="N353" i="1" s="1"/>
  <c r="L352" i="1"/>
  <c r="M352" i="1" s="1"/>
  <c r="N352" i="1" s="1"/>
  <c r="L351" i="1"/>
  <c r="M351" i="1" s="1"/>
  <c r="N351" i="1" s="1"/>
  <c r="L350" i="1"/>
  <c r="M350" i="1" s="1"/>
  <c r="N350" i="1" s="1"/>
  <c r="L349" i="1"/>
  <c r="M349" i="1" s="1"/>
  <c r="N349" i="1" s="1"/>
  <c r="L348" i="1"/>
  <c r="M348" i="1" s="1"/>
  <c r="N348" i="1" s="1"/>
  <c r="L347" i="1"/>
  <c r="M347" i="1" s="1"/>
  <c r="N347" i="1" s="1"/>
  <c r="L346" i="1"/>
  <c r="M346" i="1" s="1"/>
  <c r="N346" i="1" s="1"/>
  <c r="L345" i="1"/>
  <c r="M345" i="1" s="1"/>
  <c r="N345" i="1" s="1"/>
  <c r="L337" i="1"/>
  <c r="M337" i="1" s="1"/>
  <c r="N337" i="1" s="1"/>
  <c r="L336" i="1"/>
  <c r="M336" i="1" s="1"/>
  <c r="N336" i="1" s="1"/>
  <c r="L335" i="1"/>
  <c r="M335" i="1" s="1"/>
  <c r="N335" i="1" s="1"/>
  <c r="L333" i="1"/>
  <c r="M333" i="1" s="1"/>
  <c r="N333" i="1" s="1"/>
  <c r="L332" i="1"/>
  <c r="M332" i="1" s="1"/>
  <c r="N332" i="1" s="1"/>
  <c r="L331" i="1"/>
  <c r="M331" i="1" s="1"/>
  <c r="N331" i="1" s="1"/>
  <c r="L327" i="1"/>
  <c r="M327" i="1" s="1"/>
  <c r="N327" i="1" s="1"/>
  <c r="L326" i="1"/>
  <c r="M326" i="1" s="1"/>
  <c r="N326" i="1" s="1"/>
  <c r="L325" i="1"/>
  <c r="M325" i="1" s="1"/>
  <c r="N325" i="1" s="1"/>
  <c r="L324" i="1"/>
  <c r="M324" i="1" s="1"/>
  <c r="N324" i="1" s="1"/>
  <c r="L321" i="1"/>
  <c r="M321" i="1" s="1"/>
  <c r="N321" i="1" s="1"/>
  <c r="L318" i="1"/>
  <c r="M318" i="1" s="1"/>
  <c r="N318" i="1" s="1"/>
  <c r="L310" i="1"/>
  <c r="M310" i="1" s="1"/>
  <c r="N310" i="1" s="1"/>
  <c r="L308" i="1"/>
  <c r="M308" i="1" s="1"/>
  <c r="N308" i="1" s="1"/>
  <c r="L306" i="1"/>
  <c r="M306" i="1" s="1"/>
  <c r="N306" i="1" s="1"/>
  <c r="L304" i="1"/>
  <c r="M304" i="1" s="1"/>
  <c r="N304" i="1" s="1"/>
  <c r="L302" i="1"/>
  <c r="M302" i="1" s="1"/>
  <c r="N302" i="1" s="1"/>
  <c r="L301" i="1"/>
  <c r="M301" i="1" s="1"/>
  <c r="N301" i="1" s="1"/>
  <c r="L300" i="1"/>
  <c r="M300" i="1" s="1"/>
  <c r="N300" i="1" s="1"/>
  <c r="L299" i="1"/>
  <c r="M299" i="1" s="1"/>
  <c r="N299" i="1" s="1"/>
  <c r="L298" i="1"/>
  <c r="M298" i="1" s="1"/>
  <c r="N298" i="1" s="1"/>
  <c r="L297" i="1"/>
  <c r="M297" i="1" s="1"/>
  <c r="N297" i="1" s="1"/>
  <c r="L296" i="1"/>
  <c r="M296" i="1" s="1"/>
  <c r="N296" i="1" s="1"/>
  <c r="L295" i="1"/>
  <c r="M295" i="1" s="1"/>
  <c r="N295" i="1" s="1"/>
  <c r="L294" i="1"/>
  <c r="M294" i="1" s="1"/>
  <c r="N294" i="1" s="1"/>
  <c r="L291" i="1"/>
  <c r="M291" i="1" s="1"/>
  <c r="N291" i="1" s="1"/>
  <c r="L290" i="1"/>
  <c r="M290" i="1" s="1"/>
  <c r="N290" i="1" s="1"/>
  <c r="L289" i="1"/>
  <c r="M289" i="1" s="1"/>
  <c r="N289" i="1" s="1"/>
  <c r="L288" i="1"/>
  <c r="M288" i="1" s="1"/>
  <c r="N288" i="1" s="1"/>
  <c r="L287" i="1"/>
  <c r="M287" i="1" s="1"/>
  <c r="N287" i="1" s="1"/>
  <c r="L286" i="1"/>
  <c r="M286" i="1" s="1"/>
  <c r="N286" i="1" s="1"/>
  <c r="L285" i="1"/>
  <c r="M285" i="1" s="1"/>
  <c r="N285" i="1" s="1"/>
  <c r="L284" i="1"/>
  <c r="M284" i="1" s="1"/>
  <c r="N284" i="1" s="1"/>
  <c r="L283" i="1"/>
  <c r="M283" i="1" s="1"/>
  <c r="N283" i="1" s="1"/>
  <c r="L280" i="1"/>
  <c r="M280" i="1" s="1"/>
  <c r="N280" i="1" s="1"/>
  <c r="L279" i="1"/>
  <c r="M279" i="1" s="1"/>
  <c r="N279" i="1" s="1"/>
  <c r="L278" i="1"/>
  <c r="M278" i="1" s="1"/>
  <c r="N278" i="1" s="1"/>
  <c r="L277" i="1"/>
  <c r="M277" i="1" s="1"/>
  <c r="N277" i="1" s="1"/>
  <c r="L276" i="1"/>
  <c r="M276" i="1" s="1"/>
  <c r="N276" i="1" s="1"/>
  <c r="L275" i="1"/>
  <c r="M275" i="1" s="1"/>
  <c r="N275" i="1" s="1"/>
  <c r="L274" i="1"/>
  <c r="M274" i="1" s="1"/>
  <c r="N274" i="1" s="1"/>
  <c r="L271" i="1"/>
  <c r="M271" i="1" s="1"/>
  <c r="N271" i="1" s="1"/>
  <c r="L270" i="1"/>
  <c r="M270" i="1" s="1"/>
  <c r="N270" i="1" s="1"/>
  <c r="L269" i="1"/>
  <c r="M269" i="1" s="1"/>
  <c r="N269" i="1" s="1"/>
  <c r="L268" i="1"/>
  <c r="M268" i="1" s="1"/>
  <c r="N268" i="1" s="1"/>
  <c r="L265" i="1"/>
  <c r="M265" i="1" s="1"/>
  <c r="N265" i="1" s="1"/>
  <c r="L263" i="1"/>
  <c r="M263" i="1" s="1"/>
  <c r="N263" i="1" s="1"/>
  <c r="L261" i="1"/>
  <c r="M261" i="1" s="1"/>
  <c r="N261" i="1" s="1"/>
  <c r="L256" i="1"/>
  <c r="M256" i="1" s="1"/>
  <c r="N256" i="1" s="1"/>
  <c r="L255" i="1"/>
  <c r="M255" i="1" s="1"/>
  <c r="N255" i="1" s="1"/>
  <c r="L253" i="1"/>
  <c r="M253" i="1" s="1"/>
  <c r="N253" i="1" s="1"/>
  <c r="L252" i="1"/>
  <c r="M252" i="1" s="1"/>
  <c r="N252" i="1" s="1"/>
  <c r="L251" i="1"/>
  <c r="M251" i="1" s="1"/>
  <c r="N251" i="1" s="1"/>
  <c r="L250" i="1"/>
  <c r="M250" i="1" s="1"/>
  <c r="N250" i="1" s="1"/>
  <c r="L249" i="1"/>
  <c r="M249" i="1" s="1"/>
  <c r="N249" i="1" s="1"/>
  <c r="L248" i="1"/>
  <c r="M248" i="1" s="1"/>
  <c r="N248" i="1" s="1"/>
  <c r="L247" i="1"/>
  <c r="M247" i="1" s="1"/>
  <c r="N247" i="1" s="1"/>
  <c r="L246" i="1"/>
  <c r="M246" i="1" s="1"/>
  <c r="N246" i="1" s="1"/>
  <c r="L243" i="1"/>
  <c r="M243" i="1" s="1"/>
  <c r="N243" i="1" s="1"/>
  <c r="L238" i="1"/>
  <c r="M238" i="1" s="1"/>
  <c r="N238" i="1" s="1"/>
  <c r="L237" i="1"/>
  <c r="M237" i="1" s="1"/>
  <c r="N237" i="1" s="1"/>
  <c r="L235" i="1"/>
  <c r="M235" i="1" s="1"/>
  <c r="N235" i="1" s="1"/>
  <c r="L233" i="1"/>
  <c r="M233" i="1" s="1"/>
  <c r="N233" i="1" s="1"/>
  <c r="L229" i="1"/>
  <c r="M229" i="1" s="1"/>
  <c r="N229" i="1" s="1"/>
  <c r="L228" i="1"/>
  <c r="M228" i="1" s="1"/>
  <c r="N228" i="1" s="1"/>
  <c r="L227" i="1"/>
  <c r="M227" i="1" s="1"/>
  <c r="N227" i="1" s="1"/>
  <c r="L226" i="1"/>
  <c r="M226" i="1" s="1"/>
  <c r="N226" i="1" s="1"/>
  <c r="L225" i="1"/>
  <c r="M225" i="1" s="1"/>
  <c r="N225" i="1" s="1"/>
  <c r="L222" i="1"/>
  <c r="M222" i="1" s="1"/>
  <c r="N222" i="1" s="1"/>
  <c r="L219" i="1"/>
  <c r="M219" i="1" s="1"/>
  <c r="N219" i="1" s="1"/>
  <c r="L209" i="1"/>
  <c r="M209" i="1" s="1"/>
  <c r="N209" i="1" s="1"/>
  <c r="L205" i="1"/>
  <c r="M205" i="1" s="1"/>
  <c r="N205" i="1" s="1"/>
  <c r="L203" i="1"/>
  <c r="M203" i="1" s="1"/>
  <c r="N203" i="1" s="1"/>
  <c r="L202" i="1"/>
  <c r="M202" i="1" s="1"/>
  <c r="N202" i="1" s="1"/>
  <c r="L201" i="1"/>
  <c r="M201" i="1" s="1"/>
  <c r="N201" i="1" s="1"/>
  <c r="L200" i="1"/>
  <c r="M200" i="1" s="1"/>
  <c r="N200" i="1" s="1"/>
  <c r="L199" i="1"/>
  <c r="M199" i="1" s="1"/>
  <c r="N199" i="1" s="1"/>
  <c r="L198" i="1"/>
  <c r="M198" i="1" s="1"/>
  <c r="N198" i="1" s="1"/>
  <c r="L197" i="1"/>
  <c r="M197" i="1" s="1"/>
  <c r="N197" i="1" s="1"/>
  <c r="L196" i="1"/>
  <c r="M196" i="1" s="1"/>
  <c r="N196" i="1" s="1"/>
  <c r="L195" i="1"/>
  <c r="M195" i="1" s="1"/>
  <c r="N195" i="1" s="1"/>
  <c r="L192" i="1"/>
  <c r="M192" i="1" s="1"/>
  <c r="N192" i="1" s="1"/>
  <c r="L191" i="1"/>
  <c r="M191" i="1" s="1"/>
  <c r="N191" i="1" s="1"/>
  <c r="L185" i="1"/>
  <c r="M185" i="1" s="1"/>
  <c r="N185" i="1" s="1"/>
  <c r="L180" i="1"/>
  <c r="M180" i="1" s="1"/>
  <c r="N180" i="1" s="1"/>
  <c r="L179" i="1"/>
  <c r="M179" i="1" s="1"/>
  <c r="N179" i="1" s="1"/>
  <c r="L178" i="1"/>
  <c r="M178" i="1" s="1"/>
  <c r="N178" i="1" s="1"/>
  <c r="L177" i="1"/>
  <c r="M177" i="1" s="1"/>
  <c r="N177" i="1" s="1"/>
  <c r="L176" i="1"/>
  <c r="M176" i="1" s="1"/>
  <c r="N176" i="1" s="1"/>
  <c r="L175" i="1"/>
  <c r="M175" i="1" s="1"/>
  <c r="N175" i="1" s="1"/>
  <c r="L174" i="1"/>
  <c r="M174" i="1" s="1"/>
  <c r="N174" i="1" s="1"/>
  <c r="L171" i="1"/>
  <c r="M171" i="1" s="1"/>
  <c r="N171" i="1" s="1"/>
  <c r="L170" i="1"/>
  <c r="M170" i="1" s="1"/>
  <c r="N170" i="1" s="1"/>
  <c r="L165" i="1"/>
  <c r="M165" i="1" s="1"/>
  <c r="N165" i="1" s="1"/>
  <c r="L163" i="1"/>
  <c r="M163" i="1" s="1"/>
  <c r="N163" i="1" s="1"/>
  <c r="L161" i="1"/>
  <c r="M161" i="1" s="1"/>
  <c r="N161" i="1" s="1"/>
  <c r="L156" i="1"/>
  <c r="M156" i="1" s="1"/>
  <c r="N156" i="1" s="1"/>
  <c r="L155" i="1"/>
  <c r="M155" i="1" s="1"/>
  <c r="N155" i="1" s="1"/>
  <c r="L154" i="1"/>
  <c r="M154" i="1" s="1"/>
  <c r="N154" i="1" s="1"/>
  <c r="L153" i="1"/>
  <c r="M153" i="1" s="1"/>
  <c r="N153" i="1" s="1"/>
  <c r="L152" i="1"/>
  <c r="M152" i="1" s="1"/>
  <c r="N152" i="1" s="1"/>
  <c r="L151" i="1"/>
  <c r="M151" i="1" s="1"/>
  <c r="N151" i="1" s="1"/>
  <c r="L150" i="1"/>
  <c r="M150" i="1" s="1"/>
  <c r="N150" i="1" s="1"/>
  <c r="L149" i="1"/>
  <c r="M149" i="1" s="1"/>
  <c r="N149" i="1" s="1"/>
  <c r="L148" i="1"/>
  <c r="M148" i="1" s="1"/>
  <c r="N148" i="1" s="1"/>
  <c r="L147" i="1"/>
  <c r="M147" i="1" s="1"/>
  <c r="N147" i="1" s="1"/>
  <c r="L146" i="1"/>
  <c r="M146" i="1" s="1"/>
  <c r="N146" i="1" s="1"/>
  <c r="L137" i="1"/>
  <c r="M137" i="1" s="1"/>
  <c r="N137" i="1" s="1"/>
  <c r="L135" i="1"/>
  <c r="M135" i="1" s="1"/>
  <c r="N135" i="1" s="1"/>
  <c r="L134" i="1"/>
  <c r="M134" i="1" s="1"/>
  <c r="N134" i="1" s="1"/>
  <c r="L133" i="1"/>
  <c r="M133" i="1" s="1"/>
  <c r="N133" i="1" s="1"/>
  <c r="L129" i="1"/>
  <c r="M129" i="1" s="1"/>
  <c r="N129" i="1" s="1"/>
  <c r="L128" i="1"/>
  <c r="M128" i="1" s="1"/>
  <c r="N128" i="1" s="1"/>
  <c r="L127" i="1"/>
  <c r="M127" i="1" s="1"/>
  <c r="N127" i="1" s="1"/>
  <c r="L126" i="1"/>
  <c r="M126" i="1" s="1"/>
  <c r="N126" i="1" s="1"/>
  <c r="L125" i="1"/>
  <c r="M125" i="1" s="1"/>
  <c r="N125" i="1" s="1"/>
  <c r="L122" i="1"/>
  <c r="M122" i="1" s="1"/>
  <c r="N122" i="1" s="1"/>
  <c r="L119" i="1"/>
  <c r="M119" i="1" s="1"/>
  <c r="N119" i="1" s="1"/>
  <c r="M111" i="1"/>
  <c r="N111" i="1" s="1"/>
  <c r="L111" i="1"/>
  <c r="L109" i="1"/>
  <c r="M109" i="1" s="1"/>
  <c r="N109" i="1" s="1"/>
  <c r="L105" i="1"/>
  <c r="M105" i="1" s="1"/>
  <c r="N105" i="1" s="1"/>
  <c r="L103" i="1"/>
  <c r="M103" i="1" s="1"/>
  <c r="N103" i="1" s="1"/>
  <c r="L102" i="1"/>
  <c r="M102" i="1" s="1"/>
  <c r="N102" i="1" s="1"/>
  <c r="L101" i="1"/>
  <c r="M101" i="1" s="1"/>
  <c r="N101" i="1" s="1"/>
  <c r="L99" i="1"/>
  <c r="M99" i="1" s="1"/>
  <c r="N99" i="1" s="1"/>
  <c r="L98" i="1"/>
  <c r="M98" i="1" s="1"/>
  <c r="N98" i="1" s="1"/>
  <c r="L97" i="1"/>
  <c r="M97" i="1" s="1"/>
  <c r="N97" i="1" s="1"/>
  <c r="L96" i="1"/>
  <c r="M96" i="1" s="1"/>
  <c r="N96" i="1" s="1"/>
  <c r="L95" i="1"/>
  <c r="M95" i="1" s="1"/>
  <c r="N95" i="1" s="1"/>
  <c r="L92" i="1"/>
  <c r="M92" i="1" s="1"/>
  <c r="N92" i="1" s="1"/>
  <c r="L91" i="1"/>
  <c r="M91" i="1" s="1"/>
  <c r="N91" i="1" s="1"/>
  <c r="L90" i="1"/>
  <c r="M90" i="1" s="1"/>
  <c r="N90" i="1" s="1"/>
  <c r="L85" i="1"/>
  <c r="M85" i="1" s="1"/>
  <c r="N85" i="1" s="1"/>
  <c r="L84" i="1"/>
  <c r="M84" i="1" s="1"/>
  <c r="N84" i="1" s="1"/>
  <c r="L80" i="1"/>
  <c r="M80" i="1" s="1"/>
  <c r="N80" i="1" s="1"/>
  <c r="L79" i="1"/>
  <c r="M79" i="1" s="1"/>
  <c r="N79" i="1" s="1"/>
  <c r="L78" i="1"/>
  <c r="M78" i="1" s="1"/>
  <c r="N78" i="1" s="1"/>
  <c r="L77" i="1"/>
  <c r="M77" i="1" s="1"/>
  <c r="N77" i="1" s="1"/>
  <c r="L76" i="1"/>
  <c r="M76" i="1" s="1"/>
  <c r="N76" i="1" s="1"/>
  <c r="L75" i="1"/>
  <c r="M75" i="1" s="1"/>
  <c r="N75" i="1" s="1"/>
  <c r="L74" i="1"/>
  <c r="M74" i="1" s="1"/>
  <c r="N74" i="1" s="1"/>
  <c r="L73" i="1"/>
  <c r="M73" i="1" s="1"/>
  <c r="N73" i="1" s="1"/>
  <c r="L70" i="1"/>
  <c r="M70" i="1" s="1"/>
  <c r="N70" i="1" s="1"/>
  <c r="L69" i="1"/>
  <c r="M69" i="1" s="1"/>
  <c r="N69" i="1" s="1"/>
  <c r="L57" i="1"/>
  <c r="M57" i="1" s="1"/>
  <c r="N57" i="1" s="1"/>
  <c r="L56" i="1"/>
  <c r="M56" i="1" s="1"/>
  <c r="N56" i="1" s="1"/>
  <c r="L52" i="1"/>
  <c r="M52" i="1" s="1"/>
  <c r="N52" i="1" s="1"/>
  <c r="L48" i="1"/>
  <c r="M48" i="1" s="1"/>
  <c r="N48" i="1" s="1"/>
  <c r="L47" i="1"/>
  <c r="M47" i="1" s="1"/>
  <c r="N47" i="1" s="1"/>
  <c r="L39" i="1"/>
  <c r="M39" i="1" s="1"/>
  <c r="N39" i="1" s="1"/>
  <c r="L38" i="1"/>
  <c r="M38" i="1" s="1"/>
  <c r="N38" i="1" s="1"/>
  <c r="L37" i="1"/>
  <c r="M37" i="1" s="1"/>
  <c r="N37" i="1" s="1"/>
  <c r="L36" i="1"/>
  <c r="M36" i="1" s="1"/>
  <c r="N36" i="1" s="1"/>
  <c r="L32" i="1"/>
  <c r="M32" i="1" s="1"/>
  <c r="N32" i="1" s="1"/>
  <c r="L31" i="1"/>
  <c r="M31" i="1" s="1"/>
  <c r="N31" i="1" s="1"/>
  <c r="L30" i="1"/>
  <c r="M30" i="1" s="1"/>
  <c r="N30" i="1" s="1"/>
  <c r="L29" i="1"/>
  <c r="M29" i="1" s="1"/>
  <c r="N29" i="1" s="1"/>
  <c r="L26" i="1"/>
  <c r="M26" i="1" s="1"/>
  <c r="N26" i="1" s="1"/>
  <c r="G551" i="1"/>
  <c r="F29" i="1"/>
  <c r="F30" i="1"/>
  <c r="F31" i="1"/>
  <c r="F32" i="1"/>
  <c r="F36" i="1"/>
  <c r="F37" i="1"/>
  <c r="F38" i="1"/>
  <c r="F39" i="1"/>
  <c r="F47" i="1"/>
  <c r="F48" i="1"/>
  <c r="F52" i="1"/>
  <c r="F56" i="1"/>
  <c r="F57" i="1"/>
  <c r="F67" i="1"/>
  <c r="F68" i="1"/>
  <c r="F69" i="1"/>
  <c r="F70" i="1"/>
  <c r="F73" i="1"/>
  <c r="F74" i="1"/>
  <c r="F75" i="1"/>
  <c r="F76" i="1"/>
  <c r="F77" i="1"/>
  <c r="F78" i="1"/>
  <c r="F79" i="1"/>
  <c r="F80" i="1"/>
  <c r="F84" i="1"/>
  <c r="F85" i="1"/>
  <c r="F86" i="1"/>
  <c r="F87" i="1"/>
  <c r="F88" i="1"/>
  <c r="F89" i="1"/>
  <c r="F90" i="1"/>
  <c r="F91" i="1"/>
  <c r="F92" i="1"/>
  <c r="F95" i="1"/>
  <c r="F96" i="1"/>
  <c r="F97" i="1"/>
  <c r="F98" i="1"/>
  <c r="F99" i="1"/>
  <c r="F100" i="1"/>
  <c r="F101" i="1"/>
  <c r="F102" i="1"/>
  <c r="F103" i="1"/>
  <c r="F105" i="1"/>
  <c r="F107" i="1"/>
  <c r="F109" i="1"/>
  <c r="F111" i="1"/>
  <c r="F114" i="1"/>
  <c r="F115" i="1"/>
  <c r="F118" i="1"/>
  <c r="F119" i="1"/>
  <c r="F122" i="1"/>
  <c r="F125" i="1"/>
  <c r="F126" i="1"/>
  <c r="F127" i="1"/>
  <c r="F128" i="1"/>
  <c r="F129" i="1"/>
  <c r="F133" i="1"/>
  <c r="F134" i="1"/>
  <c r="F135" i="1"/>
  <c r="F137" i="1"/>
  <c r="F138" i="1"/>
  <c r="F139" i="1"/>
  <c r="F140" i="1"/>
  <c r="F142" i="1"/>
  <c r="F143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1" i="1"/>
  <c r="F163" i="1"/>
  <c r="F165" i="1"/>
  <c r="F168" i="1"/>
  <c r="F169" i="1"/>
  <c r="F170" i="1"/>
  <c r="F171" i="1"/>
  <c r="F174" i="1"/>
  <c r="F175" i="1"/>
  <c r="F176" i="1"/>
  <c r="F177" i="1"/>
  <c r="F178" i="1"/>
  <c r="F179" i="1"/>
  <c r="F180" i="1"/>
  <c r="F181" i="1"/>
  <c r="F184" i="1"/>
  <c r="F185" i="1"/>
  <c r="F186" i="1"/>
  <c r="F187" i="1"/>
  <c r="F188" i="1"/>
  <c r="F189" i="1"/>
  <c r="F190" i="1"/>
  <c r="F191" i="1"/>
  <c r="F192" i="1"/>
  <c r="F195" i="1"/>
  <c r="F196" i="1"/>
  <c r="F197" i="1"/>
  <c r="F198" i="1"/>
  <c r="F199" i="1"/>
  <c r="F200" i="1"/>
  <c r="F201" i="1"/>
  <c r="F202" i="1"/>
  <c r="F203" i="1"/>
  <c r="F205" i="1"/>
  <c r="F207" i="1"/>
  <c r="F209" i="1"/>
  <c r="F211" i="1"/>
  <c r="F214" i="1"/>
  <c r="F215" i="1"/>
  <c r="F218" i="1"/>
  <c r="F219" i="1"/>
  <c r="F222" i="1"/>
  <c r="F225" i="1"/>
  <c r="F226" i="1"/>
  <c r="F227" i="1"/>
  <c r="F228" i="1"/>
  <c r="F229" i="1"/>
  <c r="F233" i="1"/>
  <c r="F234" i="1"/>
  <c r="F235" i="1"/>
  <c r="F237" i="1"/>
  <c r="F238" i="1"/>
  <c r="F239" i="1"/>
  <c r="F240" i="1"/>
  <c r="F242" i="1"/>
  <c r="F243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1" i="1"/>
  <c r="F263" i="1"/>
  <c r="F265" i="1"/>
  <c r="F268" i="1"/>
  <c r="F269" i="1"/>
  <c r="F270" i="1"/>
  <c r="F271" i="1"/>
  <c r="F274" i="1"/>
  <c r="F275" i="1"/>
  <c r="F276" i="1"/>
  <c r="F277" i="1"/>
  <c r="F278" i="1"/>
  <c r="F279" i="1"/>
  <c r="F280" i="1"/>
  <c r="F283" i="1"/>
  <c r="F284" i="1"/>
  <c r="F285" i="1"/>
  <c r="F286" i="1"/>
  <c r="F287" i="1"/>
  <c r="F288" i="1"/>
  <c r="F289" i="1"/>
  <c r="F290" i="1"/>
  <c r="F291" i="1"/>
  <c r="F294" i="1"/>
  <c r="F295" i="1"/>
  <c r="F296" i="1"/>
  <c r="F297" i="1"/>
  <c r="F298" i="1"/>
  <c r="F299" i="1"/>
  <c r="F300" i="1"/>
  <c r="F301" i="1"/>
  <c r="F302" i="1"/>
  <c r="F304" i="1"/>
  <c r="F306" i="1"/>
  <c r="F308" i="1"/>
  <c r="F310" i="1"/>
  <c r="F313" i="1"/>
  <c r="F314" i="1"/>
  <c r="F317" i="1"/>
  <c r="F318" i="1"/>
  <c r="F321" i="1"/>
  <c r="F324" i="1"/>
  <c r="F325" i="1"/>
  <c r="F326" i="1"/>
  <c r="F327" i="1"/>
  <c r="F331" i="1"/>
  <c r="F332" i="1"/>
  <c r="F333" i="1"/>
  <c r="F335" i="1"/>
  <c r="F336" i="1"/>
  <c r="F337" i="1"/>
  <c r="F338" i="1"/>
  <c r="F340" i="1"/>
  <c r="F341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9" i="1"/>
  <c r="F361" i="1"/>
  <c r="F363" i="1"/>
  <c r="F366" i="1"/>
  <c r="F367" i="1"/>
  <c r="F368" i="1"/>
  <c r="F369" i="1"/>
  <c r="F372" i="1"/>
  <c r="F373" i="1"/>
  <c r="F374" i="1"/>
  <c r="F375" i="1"/>
  <c r="F376" i="1"/>
  <c r="F377" i="1"/>
  <c r="F378" i="1"/>
  <c r="F379" i="1"/>
  <c r="F382" i="1"/>
  <c r="F383" i="1"/>
  <c r="F384" i="1"/>
  <c r="F385" i="1"/>
  <c r="F386" i="1"/>
  <c r="F387" i="1"/>
  <c r="F388" i="1"/>
  <c r="F389" i="1"/>
  <c r="F390" i="1"/>
  <c r="F393" i="1"/>
  <c r="F394" i="1"/>
  <c r="F395" i="1"/>
  <c r="F396" i="1"/>
  <c r="F397" i="1"/>
  <c r="F398" i="1"/>
  <c r="F399" i="1"/>
  <c r="F400" i="1"/>
  <c r="F401" i="1"/>
  <c r="F403" i="1"/>
  <c r="F405" i="1"/>
  <c r="F407" i="1"/>
  <c r="F409" i="1"/>
  <c r="F412" i="1"/>
  <c r="F413" i="1"/>
  <c r="F416" i="1"/>
  <c r="F417" i="1"/>
  <c r="F420" i="1"/>
  <c r="F423" i="1"/>
  <c r="F424" i="1"/>
  <c r="F425" i="1"/>
  <c r="F426" i="1"/>
  <c r="F427" i="1"/>
  <c r="F428" i="1"/>
  <c r="F432" i="1"/>
  <c r="F433" i="1"/>
  <c r="F434" i="1"/>
  <c r="F436" i="1"/>
  <c r="F437" i="1"/>
  <c r="F438" i="1"/>
  <c r="F439" i="1"/>
  <c r="F441" i="1"/>
  <c r="F442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60" i="1"/>
  <c r="F462" i="1"/>
  <c r="F464" i="1"/>
  <c r="F474" i="1"/>
  <c r="F475" i="1"/>
  <c r="F476" i="1"/>
  <c r="F478" i="1"/>
  <c r="F479" i="1"/>
  <c r="F480" i="1"/>
  <c r="F482" i="1"/>
  <c r="F483" i="1"/>
  <c r="F486" i="1"/>
  <c r="F491" i="1"/>
  <c r="F497" i="1"/>
  <c r="F503" i="1"/>
  <c r="F509" i="1"/>
  <c r="F515" i="1"/>
  <c r="F519" i="1"/>
  <c r="F522" i="1"/>
  <c r="F524" i="1"/>
  <c r="F525" i="1"/>
  <c r="F529" i="1"/>
  <c r="F530" i="1"/>
  <c r="F531" i="1"/>
  <c r="F532" i="1"/>
  <c r="F534" i="1"/>
  <c r="F535" i="1"/>
  <c r="F537" i="1"/>
  <c r="F539" i="1"/>
  <c r="F540" i="1"/>
  <c r="F542" i="1"/>
  <c r="F543" i="1"/>
  <c r="F545" i="1"/>
  <c r="F546" i="1"/>
  <c r="F547" i="1"/>
  <c r="F548" i="1"/>
  <c r="F26" i="1"/>
  <c r="J551" i="1" l="1"/>
  <c r="N551" i="1"/>
  <c r="M551" i="1"/>
  <c r="L551" i="1"/>
  <c r="F551" i="1"/>
</calcChain>
</file>

<file path=xl/sharedStrings.xml><?xml version="1.0" encoding="utf-8"?>
<sst xmlns="http://schemas.openxmlformats.org/spreadsheetml/2006/main" count="1153" uniqueCount="265">
  <si>
    <t>Item No.</t>
  </si>
  <si>
    <t>Description of Work</t>
  </si>
  <si>
    <t>Unit Cost</t>
  </si>
  <si>
    <t>Weighted %</t>
  </si>
  <si>
    <t>Remarks</t>
  </si>
  <si>
    <t>lot</t>
  </si>
  <si>
    <t>Reviewed and Submitted by:</t>
  </si>
  <si>
    <t>Noted by:</t>
  </si>
  <si>
    <t>PROJECT ENGINEER</t>
  </si>
  <si>
    <t>PROJECT MANAGER</t>
  </si>
  <si>
    <t>PROJECT DIRECTOR</t>
  </si>
  <si>
    <t>Contractor: JEJORS CONSTRUCTION CORPORATION</t>
  </si>
  <si>
    <t>Supply, Delivery, Installation, Testing, and Commissioning of VRF Air-Conditioning for 3rd Floor OR</t>
  </si>
  <si>
    <t xml:space="preserve">UP-Philippine General Hospital </t>
  </si>
  <si>
    <t xml:space="preserve"> Taft Avenue, Ermita, Manila 1000 
Taft Avenue, Ermita, Manila 1000 
UP-Philippine General Hospital 
Taft Avenue, Ermita, Manila 1000 
</t>
  </si>
  <si>
    <t>Prepared by: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</si>
  <si>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</si>
  <si>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</si>
  <si>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</si>
  <si>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</si>
  <si>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</si>
  <si>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</si>
  <si>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</si>
  <si>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e. Permits and Fees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</si>
  <si>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</si>
  <si>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</si>
  <si>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</si>
  <si>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</si>
  <si>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</si>
  <si>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</si>
  <si>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Site Management Work</t>
  </si>
  <si>
    <t>a. Project Management</t>
  </si>
  <si>
    <t>b. Admin Support
  - Accounting, Procurement, Logistics</t>
  </si>
  <si>
    <t>c.Quality Management</t>
  </si>
  <si>
    <t>d. Engineering Management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</si>
  <si>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</si>
  <si>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</si>
  <si>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</si>
  <si>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</si>
  <si>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</si>
  <si>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>b. Off-site Barracks
   - Construction and-or Rent
   - Electric Consumption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</si>
  <si>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</si>
  <si>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</si>
  <si>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</si>
  <si>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</si>
  <si>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</si>
  <si>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</si>
  <si>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</si>
  <si>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</si>
  <si>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</si>
  <si>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</si>
  <si>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</si>
  <si>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</si>
  <si>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</si>
  <si>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</si>
  <si>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</si>
  <si>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</si>
  <si>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</si>
  <si>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</si>
  <si>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</si>
  <si>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</si>
  <si>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</si>
  <si>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</si>
  <si>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</si>
  <si>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</si>
  <si>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</si>
  <si>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</si>
  <si>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</si>
  <si>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</si>
  <si>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</si>
  <si>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</si>
  <si>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</si>
  <si>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</si>
  <si>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</si>
  <si>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</si>
  <si>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</si>
  <si>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</si>
  <si>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</si>
  <si>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</si>
  <si>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</si>
  <si>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</si>
  <si>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</si>
  <si>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</si>
  <si>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</si>
  <si>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</si>
  <si>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</si>
  <si>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</si>
  <si>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</si>
  <si>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</si>
  <si>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</si>
  <si>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</si>
  <si>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</si>
  <si>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</si>
  <si>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</si>
  <si>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</si>
  <si>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</si>
  <si>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</si>
  <si>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</si>
  <si>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</si>
  <si>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</si>
  <si>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</si>
  <si>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</si>
  <si>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</si>
  <si>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</si>
  <si>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</si>
  <si>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</si>
  <si>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</si>
  <si>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</si>
  <si>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</si>
  <si>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</si>
  <si>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</si>
  <si>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</si>
  <si>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</si>
  <si>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</si>
  <si>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</si>
  <si>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</si>
  <si>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</si>
  <si>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</si>
  <si>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</si>
  <si>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</si>
  <si>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</si>
  <si>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</si>
  <si>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</si>
  <si>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</si>
  <si>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</si>
  <si>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</si>
  <si>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</si>
  <si>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</si>
  <si>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</si>
  <si>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</si>
  <si>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</si>
  <si>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</si>
  <si>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</si>
  <si>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</si>
  <si>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</si>
  <si>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</si>
  <si>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</si>
  <si>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</si>
  <si>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</si>
  <si>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</si>
  <si>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</si>
  <si>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</si>
  <si>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</si>
  <si>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</si>
  <si>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</si>
  <si>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</si>
  <si>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</si>
  <si>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</si>
  <si>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</si>
  <si>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</si>
  <si>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</si>
  <si>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</si>
  <si>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</si>
  <si>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</si>
  <si>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</si>
  <si>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</si>
  <si>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</si>
  <si>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</si>
  <si>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</si>
  <si>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</si>
  <si>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</si>
  <si>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</si>
  <si>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</si>
  <si>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</si>
  <si>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</si>
  <si>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</si>
  <si>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</si>
  <si>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</si>
  <si>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</si>
  <si>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</si>
  <si>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</si>
  <si>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</si>
  <si>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</si>
  <si>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</si>
  <si>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</si>
  <si>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</si>
  <si>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</si>
  <si>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</si>
  <si>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</si>
  <si>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</si>
  <si>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</si>
  <si>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</si>
  <si>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</si>
  <si>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</si>
  <si>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</si>
  <si>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</si>
  <si>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</si>
  <si>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</si>
  <si>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</si>
  <si>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</si>
  <si>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</si>
  <si>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</si>
  <si>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</si>
  <si>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</si>
  <si>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</si>
  <si>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</si>
  <si>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</si>
  <si>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</si>
  <si>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</si>
  <si>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</si>
  <si>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</si>
  <si>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</si>
  <si>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</si>
  <si>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</si>
  <si>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</si>
  <si>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</si>
  <si>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</si>
  <si>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</si>
  <si>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</si>
  <si>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</si>
  <si>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</si>
  <si>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</si>
  <si>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</si>
  <si>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</si>
  <si>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</si>
  <si>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</si>
  <si>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</si>
  <si>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</si>
  <si>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</si>
  <si>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</si>
  <si>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</si>
  <si>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</si>
  <si>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</si>
  <si>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</si>
  <si>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</si>
  <si>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</si>
  <si>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>500KVA Step Down Dry Type Transformer, 480V to 230V, 3P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</si>
  <si>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</si>
  <si>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</si>
  <si>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</si>
  <si>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</si>
  <si>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</si>
  <si>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</si>
  <si>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</si>
  <si>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</si>
  <si>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</si>
  <si>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</si>
  <si>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</si>
  <si>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</si>
  <si>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</si>
  <si>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</si>
  <si>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</si>
  <si>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</si>
  <si>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</si>
  <si>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</si>
  <si>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</si>
  <si>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</si>
  <si>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</si>
  <si>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</si>
  <si>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</si>
  <si>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</si>
  <si>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</si>
  <si>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</si>
  <si>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</si>
  <si>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Total</t>
  </si>
  <si>
    <t>Unit/s</t>
  </si>
  <si>
    <t>Qty</t>
  </si>
  <si>
    <t>Total Cost</t>
  </si>
  <si>
    <t>PROJECT ACCOMPLISHMENT</t>
  </si>
  <si>
    <t>PREVIOUS</t>
  </si>
  <si>
    <t>THIS PERIOD</t>
  </si>
  <si>
    <t>ACCOMPLISHMENTO DATE</t>
  </si>
  <si>
    <t>%</t>
  </si>
  <si>
    <t>PROJECT ACCOMPLISHMENT REPORT NO. ____</t>
  </si>
  <si>
    <t>(For the period ending: (________________________)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</si>
</sst>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1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rgb="FFA5A5A5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A6A6A6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94">
    <xf numFmtId="0" fontId="0" fillId="0" borderId="0" xfId="0"/>
    <xf numFmtId="43" fontId="0" fillId="0" borderId="0" xfId="1" applyFont="1"/>
    <xf numFmtId="165" fontId="6" fillId="3" borderId="1" xfId="0" applyNumberFormat="1" applyFont="1" applyFill="1" applyBorder="1" applyAlignment="1">
      <alignment horizontal="right" vertical="center"/>
    </xf>
    <xf numFmtId="4" fontId="6" fillId="3" borderId="1" xfId="0" applyNumberFormat="1" applyFont="1" applyFill="1" applyBorder="1" applyAlignment="1">
      <alignment vertical="center"/>
    </xf>
    <xf numFmtId="4" fontId="6" fillId="3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43" fontId="6" fillId="3" borderId="1" xfId="1" applyFont="1" applyFill="1" applyBorder="1" applyAlignment="1">
      <alignment horizontal="center" vertical="center"/>
    </xf>
    <xf numFmtId="43" fontId="6" fillId="3" borderId="1" xfId="1" applyFont="1" applyFill="1" applyBorder="1" applyAlignment="1">
      <alignment horizontal="right" vertical="center"/>
    </xf>
    <xf numFmtId="165" fontId="6" fillId="3" borderId="1" xfId="0" applyNumberFormat="1" applyFont="1" applyFill="1" applyBorder="1" applyAlignment="1">
      <alignment vertical="center"/>
    </xf>
    <xf numFmtId="165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4" fontId="6" fillId="3" borderId="1" xfId="0" applyNumberFormat="1" applyFont="1" applyFill="1" applyBorder="1" applyAlignment="1">
      <alignment vertical="center" wrapText="1"/>
    </xf>
    <xf numFmtId="164" fontId="6" fillId="3" borderId="1" xfId="0" applyNumberFormat="1" applyFont="1" applyFill="1" applyBorder="1" applyAlignment="1">
      <alignment horizontal="right" vertical="center"/>
    </xf>
    <xf numFmtId="43" fontId="6" fillId="3" borderId="1" xfId="1" applyFont="1" applyFill="1" applyBorder="1" applyAlignment="1">
      <alignment vertical="center"/>
    </xf>
    <xf numFmtId="0" fontId="0" fillId="4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43" fontId="0" fillId="4" borderId="1" xfId="1" applyFont="1" applyFill="1" applyBorder="1" applyAlignment="1">
      <alignment vertical="top" wrapText="1"/>
    </xf>
    <xf numFmtId="0" fontId="0" fillId="3" borderId="1" xfId="0" applyFill="1" applyBorder="1"/>
    <xf numFmtId="4" fontId="5" fillId="5" borderId="1" xfId="0" applyNumberFormat="1" applyFont="1" applyFill="1" applyBorder="1" applyAlignment="1">
      <alignment horizontal="center" vertical="center"/>
    </xf>
    <xf numFmtId="4" fontId="5" fillId="5" borderId="1" xfId="0" applyNumberFormat="1" applyFont="1" applyFill="1" applyBorder="1" applyAlignment="1">
      <alignment vertical="center"/>
    </xf>
    <xf numFmtId="4" fontId="6" fillId="6" borderId="1" xfId="0" applyNumberFormat="1" applyFont="1" applyFill="1" applyBorder="1" applyAlignment="1">
      <alignment vertical="center"/>
    </xf>
    <xf numFmtId="164" fontId="6" fillId="6" borderId="1" xfId="0" applyNumberFormat="1" applyFont="1" applyFill="1" applyBorder="1" applyAlignment="1">
      <alignment vertical="center"/>
    </xf>
    <xf numFmtId="43" fontId="5" fillId="6" borderId="1" xfId="1" applyFont="1" applyFill="1" applyBorder="1" applyAlignment="1">
      <alignment horizontal="center" vertical="center"/>
    </xf>
    <xf numFmtId="4" fontId="5" fillId="7" borderId="1" xfId="0" applyNumberFormat="1" applyFont="1" applyFill="1" applyBorder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/>
    </xf>
    <xf numFmtId="164" fontId="6" fillId="7" borderId="1" xfId="0" applyNumberFormat="1" applyFont="1" applyFill="1" applyBorder="1" applyAlignment="1">
      <alignment vertical="center"/>
    </xf>
    <xf numFmtId="43" fontId="5" fillId="7" borderId="1" xfId="1" applyFont="1" applyFill="1" applyBorder="1" applyAlignment="1">
      <alignment horizontal="right" vertical="center"/>
    </xf>
    <xf numFmtId="4" fontId="5" fillId="8" borderId="1" xfId="0" applyNumberFormat="1" applyFont="1" applyFill="1" applyBorder="1" applyAlignment="1">
      <alignment horizontal="center" vertical="center"/>
    </xf>
    <xf numFmtId="4" fontId="5" fillId="8" borderId="1" xfId="0" applyNumberFormat="1" applyFont="1" applyFill="1" applyBorder="1" applyAlignment="1">
      <alignment vertical="center"/>
    </xf>
    <xf numFmtId="4" fontId="6" fillId="8" borderId="1" xfId="0" applyNumberFormat="1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right" vertical="center"/>
    </xf>
    <xf numFmtId="43" fontId="6" fillId="8" borderId="1" xfId="1" applyFont="1" applyFill="1" applyBorder="1" applyAlignment="1">
      <alignment vertical="center"/>
    </xf>
    <xf numFmtId="43" fontId="5" fillId="7" borderId="1" xfId="1" applyFont="1" applyFill="1" applyBorder="1" applyAlignment="1">
      <alignment vertical="center"/>
    </xf>
    <xf numFmtId="164" fontId="5" fillId="8" borderId="1" xfId="0" applyNumberFormat="1" applyFont="1" applyFill="1" applyBorder="1" applyAlignment="1">
      <alignment horizontal="right" vertical="center"/>
    </xf>
    <xf numFmtId="0" fontId="0" fillId="3" borderId="1" xfId="0" applyFill="1" applyBorder="1" applyAlignment="1">
      <alignment vertical="top" wrapText="1"/>
    </xf>
    <xf numFmtId="4" fontId="0" fillId="3" borderId="1" xfId="0" applyNumberFormat="1" applyFill="1" applyBorder="1" applyAlignment="1">
      <alignment vertical="top" wrapText="1"/>
    </xf>
    <xf numFmtId="43" fontId="0" fillId="3" borderId="1" xfId="1" applyFont="1" applyFill="1" applyBorder="1" applyAlignment="1">
      <alignment vertical="top" wrapText="1"/>
    </xf>
    <xf numFmtId="4" fontId="2" fillId="4" borderId="1" xfId="0" applyNumberFormat="1" applyFont="1" applyFill="1" applyBorder="1" applyAlignment="1">
      <alignment vertical="top" wrapText="1"/>
    </xf>
    <xf numFmtId="43" fontId="5" fillId="7" borderId="1" xfId="1" applyFont="1" applyFill="1" applyBorder="1"/>
    <xf numFmtId="43" fontId="2" fillId="4" borderId="1" xfId="1" applyFont="1" applyFill="1" applyBorder="1" applyAlignment="1">
      <alignment vertical="top" wrapText="1"/>
    </xf>
    <xf numFmtId="43" fontId="7" fillId="9" borderId="1" xfId="1" applyFont="1" applyFill="1" applyBorder="1" applyAlignment="1">
      <alignment horizontal="right" vertical="center"/>
    </xf>
    <xf numFmtId="43" fontId="0" fillId="3" borderId="1" xfId="1" applyFont="1" applyFill="1" applyBorder="1"/>
    <xf numFmtId="166" fontId="0" fillId="4" borderId="1" xfId="0" applyNumberFormat="1" applyFill="1" applyBorder="1" applyAlignment="1">
      <alignment vertical="top" wrapText="1"/>
    </xf>
    <xf numFmtId="166" fontId="0" fillId="4" borderId="1" xfId="2" applyNumberFormat="1" applyFont="1" applyFill="1" applyBorder="1" applyAlignment="1">
      <alignment vertical="top" wrapText="1"/>
    </xf>
    <xf numFmtId="166" fontId="0" fillId="3" borderId="1" xfId="0" applyNumberFormat="1" applyFill="1" applyBorder="1" applyAlignment="1">
      <alignment vertical="top" wrapText="1"/>
    </xf>
    <xf numFmtId="166" fontId="2" fillId="4" borderId="1" xfId="0" applyNumberFormat="1" applyFont="1" applyFill="1" applyBorder="1" applyAlignment="1">
      <alignment vertical="top" wrapText="1"/>
    </xf>
    <xf numFmtId="166" fontId="0" fillId="3" borderId="1" xfId="0" applyNumberFormat="1" applyFill="1" applyBorder="1"/>
    <xf numFmtId="166" fontId="0" fillId="0" borderId="0" xfId="0" applyNumberFormat="1"/>
    <xf numFmtId="1" fontId="0" fillId="4" borderId="1" xfId="0" applyNumberFormat="1" applyFill="1" applyBorder="1" applyAlignment="1">
      <alignment horizontal="center" vertical="top" wrapText="1"/>
    </xf>
    <xf numFmtId="1" fontId="0" fillId="3" borderId="1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66" fontId="0" fillId="3" borderId="1" xfId="2" applyNumberFormat="1" applyFont="1" applyFill="1" applyBorder="1"/>
    <xf numFmtId="1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0" fillId="4" borderId="1" xfId="2" applyNumberFormat="1" applyFont="1" applyFill="1" applyBorder="1" applyAlignment="1" applyProtection="1">
      <alignment horizontal="center" vertical="top" wrapText="1"/>
      <protection locked="0"/>
    </xf>
    <xf numFmtId="43" fontId="0" fillId="4" borderId="1" xfId="1" applyFont="1" applyFill="1" applyBorder="1" applyAlignment="1" applyProtection="1">
      <alignment vertical="top" wrapText="1"/>
      <protection locked="0"/>
    </xf>
    <xf numFmtId="0" fontId="0" fillId="4" borderId="1" xfId="0" applyFill="1" applyBorder="1" applyAlignment="1" applyProtection="1">
      <alignment vertical="top" wrapText="1"/>
      <protection locked="0"/>
    </xf>
    <xf numFmtId="1" fontId="0" fillId="4" borderId="1" xfId="0" applyNumberFormat="1" applyFill="1" applyBorder="1" applyAlignment="1" applyProtection="1">
      <alignment horizontal="center" vertical="top" wrapText="1"/>
      <protection locked="0"/>
    </xf>
    <xf numFmtId="1" fontId="0" fillId="3" borderId="1" xfId="0" applyNumberFormat="1" applyFill="1" applyBorder="1" applyAlignment="1" applyProtection="1">
      <alignment horizontal="center" vertical="top" wrapText="1"/>
      <protection locked="0"/>
    </xf>
    <xf numFmtId="4" fontId="0" fillId="3" borderId="1" xfId="0" applyNumberFormat="1" applyFill="1" applyBorder="1" applyAlignment="1" applyProtection="1">
      <alignment vertical="top" wrapText="1"/>
      <protection locked="0"/>
    </xf>
    <xf numFmtId="43" fontId="0" fillId="3" borderId="1" xfId="1" applyFont="1" applyFill="1" applyBorder="1" applyAlignment="1" applyProtection="1">
      <alignment vertical="top" wrapText="1"/>
      <protection locked="0"/>
    </xf>
    <xf numFmtId="166" fontId="2" fillId="4" borderId="1" xfId="0" applyNumberFormat="1" applyFont="1" applyFill="1" applyBorder="1" applyAlignment="1" applyProtection="1">
      <alignment vertical="top" wrapText="1"/>
      <protection locked="0"/>
    </xf>
    <xf numFmtId="0" fontId="2" fillId="4" borderId="1" xfId="0" applyFont="1" applyFill="1" applyBorder="1" applyAlignment="1" applyProtection="1">
      <alignment vertical="top" wrapText="1"/>
      <protection locked="0"/>
    </xf>
    <xf numFmtId="43" fontId="2" fillId="4" borderId="1" xfId="1" applyFont="1" applyFill="1" applyBorder="1" applyAlignment="1" applyProtection="1">
      <alignment vertical="top" wrapText="1"/>
      <protection locked="0"/>
    </xf>
    <xf numFmtId="0" fontId="2" fillId="0" borderId="0" xfId="0" applyFont="1" applyProtection="1">
      <protection locked="0"/>
    </xf>
    <xf numFmtId="43" fontId="0" fillId="0" borderId="0" xfId="1" applyFont="1" applyProtection="1">
      <protection locked="0"/>
    </xf>
    <xf numFmtId="166" fontId="0" fillId="0" borderId="0" xfId="0" applyNumberFormat="1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43" fontId="0" fillId="4" borderId="1" xfId="1" applyFont="1" applyFill="1" applyBorder="1" applyAlignment="1" applyProtection="1">
      <alignment vertical="top" wrapText="1"/>
    </xf>
    <xf numFmtId="43" fontId="0" fillId="3" borderId="1" xfId="1" applyFont="1" applyFill="1" applyBorder="1" applyAlignment="1" applyProtection="1">
      <alignment vertical="top" wrapText="1"/>
    </xf>
    <xf numFmtId="43" fontId="2" fillId="4" borderId="1" xfId="1" applyFont="1" applyFill="1" applyBorder="1" applyAlignment="1" applyProtection="1">
      <alignment vertical="top" wrapText="1"/>
    </xf>
    <xf numFmtId="167" fontId="0" fillId="0" borderId="0" xfId="2" applyNumberFormat="1" applyFont="1"/>
    <xf numFmtId="167" fontId="3" fillId="2" borderId="2" xfId="2" applyNumberFormat="1" applyFont="1" applyFill="1" applyBorder="1" applyAlignment="1">
      <alignment horizontal="center" vertical="center" wrapText="1"/>
    </xf>
    <xf numFmtId="167" fontId="0" fillId="3" borderId="1" xfId="2" applyNumberFormat="1" applyFont="1" applyFill="1" applyBorder="1"/>
    <xf numFmtId="167" fontId="0" fillId="3" borderId="1" xfId="2" applyNumberFormat="1" applyFont="1" applyFill="1" applyBorder="1" applyProtection="1"/>
    <xf numFmtId="167" fontId="2" fillId="4" borderId="1" xfId="0" applyNumberFormat="1" applyFont="1" applyFill="1" applyBorder="1" applyAlignment="1">
      <alignment vertical="top" wrapText="1"/>
    </xf>
    <xf numFmtId="167" fontId="0" fillId="0" borderId="0" xfId="2" applyNumberFormat="1" applyFont="1" applyBorder="1"/>
    <xf numFmtId="0" fontId="0" fillId="0" borderId="0" xfId="0" applyBorder="1"/>
    <xf numFmtId="43" fontId="0" fillId="0" borderId="0" xfId="1" applyFont="1" applyBorder="1"/>
    <xf numFmtId="166" fontId="0" fillId="0" borderId="0" xfId="0" applyNumberFormat="1" applyBorder="1"/>
    <xf numFmtId="1" fontId="0" fillId="0" borderId="0" xfId="0" applyNumberFormat="1" applyBorder="1" applyAlignment="1">
      <alignment horizontal="center"/>
    </xf>
    <xf numFmtId="0" fontId="0" fillId="10" borderId="0" xfId="0" applyFill="1" applyBorder="1" applyAlignment="1">
      <alignment wrapText="1"/>
    </xf>
    <xf numFmtId="1" fontId="8" fillId="10" borderId="0" xfId="0" applyNumberFormat="1" applyFont="1" applyFill="1" applyBorder="1" applyAlignment="1">
      <alignment horizontal="center" wrapText="1"/>
    </xf>
    <xf numFmtId="0" fontId="8" fillId="10" borderId="0" xfId="0" applyFont="1" applyFill="1" applyBorder="1" applyAlignment="1">
      <alignment wrapText="1"/>
    </xf>
    <xf numFmtId="0" fontId="0" fillId="10" borderId="0" xfId="0" applyFill="1" applyBorder="1"/>
    <xf numFmtId="166" fontId="3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9" fillId="0" borderId="0" xfId="0" applyFont="1" applyBorder="1"/>
    <xf numFmtId="0" fontId="10" fillId="0" borderId="0" xfId="0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9"/>
  <sheetViews>
    <sheetView tabSelected="1" zoomScale="75" zoomScaleNormal="75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R6" sqref="R6"/>
    </sheetView>
  </sheetViews>
  <sheetFormatPr defaultRowHeight="14.4" x14ac:dyDescent="0.55000000000000004"/>
  <cols>
    <col min="1" max="1" width="8" customWidth="1"/>
    <col min="2" max="2" width="45" customWidth="1"/>
    <col min="3" max="3" width="6.734375" bestFit="1" customWidth="1"/>
    <col min="4" max="4" width="10.5234375" customWidth="1"/>
    <col min="5" max="5" width="12" style="1" customWidth="1"/>
    <col min="6" max="6" width="13.15625" style="1" bestFit="1" customWidth="1"/>
    <col min="7" max="7" width="12" style="48" customWidth="1"/>
    <col min="8" max="8" width="3.68359375" style="51" bestFit="1" customWidth="1"/>
    <col min="9" max="9" width="6.734375" bestFit="1" customWidth="1"/>
    <col min="10" max="10" width="13.68359375" style="1" bestFit="1" customWidth="1"/>
    <col min="11" max="11" width="16.15625" bestFit="1" customWidth="1"/>
    <col min="12" max="12" width="14.15625" style="1" customWidth="1"/>
    <col min="13" max="13" width="15" style="1" customWidth="1"/>
    <col min="14" max="14" width="7.62890625" style="74" bestFit="1" customWidth="1"/>
    <col min="15" max="15" width="20.05078125" customWidth="1"/>
    <col min="17" max="17" width="13.3125" style="1" bestFit="1" customWidth="1"/>
  </cols>
  <sheetData>
    <row r="1" spans="1:15" ht="15.3" x14ac:dyDescent="0.7">
      <c r="A1" s="89" t="s">
        <v>13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1"/>
      <c r="O1" s="91"/>
    </row>
    <row r="2" spans="1:15" ht="15.3" x14ac:dyDescent="0.7">
      <c r="A2" s="89" t="s">
        <v>12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1"/>
      <c r="O2" s="91"/>
    </row>
    <row r="3" spans="1:15" ht="14.4" customHeight="1" x14ac:dyDescent="0.7">
      <c r="A3" s="89" t="s">
        <v>14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1"/>
      <c r="O3" s="91"/>
    </row>
    <row r="4" spans="1:15" ht="18.3" x14ac:dyDescent="0.7">
      <c r="A4" s="89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1"/>
      <c r="O4" s="91"/>
    </row>
    <row r="5" spans="1:15" ht="15.3" x14ac:dyDescent="0.7">
      <c r="A5" s="89" t="s">
        <v>263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1"/>
      <c r="O5" s="91"/>
    </row>
    <row r="6" spans="1:15" ht="15.3" x14ac:dyDescent="0.7">
      <c r="A6" s="89" t="s">
        <v>264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1"/>
      <c r="O6" s="91"/>
    </row>
    <row r="7" spans="1:15" x14ac:dyDescent="0.55000000000000004">
      <c r="A7" s="80"/>
      <c r="B7" s="80"/>
      <c r="C7" s="80"/>
      <c r="D7" s="80"/>
      <c r="E7" s="81"/>
      <c r="F7" s="81"/>
      <c r="G7" s="82"/>
      <c r="H7" s="83"/>
      <c r="I7" s="80"/>
      <c r="J7" s="81"/>
      <c r="K7" s="80"/>
      <c r="L7" s="81"/>
      <c r="M7" s="81"/>
      <c r="N7" s="79"/>
      <c r="O7" s="80"/>
    </row>
    <row r="8" spans="1:15" ht="15.6" x14ac:dyDescent="0.6">
      <c r="A8" s="92" t="s">
        <v>11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79"/>
      <c r="O8" s="80"/>
    </row>
    <row r="9" spans="1:15" x14ac:dyDescent="0.55000000000000004">
      <c r="A9" s="80"/>
      <c r="B9" s="80"/>
      <c r="C9" s="84"/>
      <c r="D9" s="84"/>
      <c r="E9" s="84"/>
      <c r="F9" s="84"/>
      <c r="G9" s="84"/>
      <c r="H9" s="85" t="s">
        <v>258</v>
      </c>
      <c r="I9" s="86"/>
      <c r="J9" s="86"/>
      <c r="K9" s="86"/>
      <c r="L9" s="86"/>
      <c r="M9" s="86"/>
      <c r="N9" s="86"/>
      <c r="O9" s="87"/>
    </row>
    <row r="10" spans="1:15" ht="40" customHeight="1" x14ac:dyDescent="0.55000000000000004">
      <c r="A10" s="54" t="s">
        <v>0</v>
      </c>
      <c r="B10" s="54" t="s">
        <v>1</v>
      </c>
      <c r="C10" s="54" t="s">
        <v>255</v>
      </c>
      <c r="D10" s="54" t="s">
        <v>256</v>
      </c>
      <c r="E10" s="55" t="s">
        <v>2</v>
      </c>
      <c r="F10" s="55" t="s">
        <v>257</v>
      </c>
      <c r="G10" s="88" t="s">
        <v>3</v>
      </c>
      <c r="H10" s="53" t="s">
        <v>256</v>
      </c>
      <c r="I10" s="54" t="s">
        <v>255</v>
      </c>
      <c r="J10" s="55" t="s">
        <v>254</v>
      </c>
      <c r="K10" s="54" t="s">
        <v>259</v>
      </c>
      <c r="L10" s="55" t="s">
        <v>260</v>
      </c>
      <c r="M10" s="55" t="s">
        <v>261</v>
      </c>
      <c r="N10" s="75" t="s">
        <v>262</v>
      </c>
      <c r="O10" s="54" t="s">
        <v>4</v>
      </c>
    </row>
    <row r="11" spans="1:15" x14ac:dyDescent="0.55000000000000004">
      <c r="A11" s="14"/>
      <c r="B11" s="15"/>
      <c r="C11" s="14"/>
      <c r="D11" s="14"/>
      <c r="E11" s="16"/>
      <c r="F11" s="16"/>
      <c r="G11" s="43"/>
      <c r="H11" s="49"/>
      <c r="I11" s="14"/>
      <c r="J11" s="71"/>
      <c r="K11" s="14"/>
      <c r="L11" s="16"/>
      <c r="M11" s="16"/>
      <c r="N11" s="76"/>
      <c r="O11" s="17"/>
    </row>
    <row r="12" spans="1:15" x14ac:dyDescent="0.55000000000000004">
      <c r="A12" s="18" t="s">
        <v>16</v>
      </c>
      <c r="B12" s="19" t="s">
        <v>17</v>
      </c>
      <c r="C12" s="20"/>
      <c r="D12" s="21"/>
      <c r="E12" s="22"/>
      <c r="F12" s="16"/>
      <c r="G12" s="43"/>
      <c r="H12" s="49"/>
      <c r="I12" s="20"/>
      <c r="J12" s="71"/>
      <c r="K12" s="14"/>
      <c r="L12" s="16"/>
      <c r="M12" s="16"/>
      <c r="N12" s="76"/>
      <c r="O12" s="17"/>
    </row>
    <row r="13" spans="1:15" x14ac:dyDescent="0.55000000000000004">
      <c r="A13" s="2"/>
      <c r="B13" s="3" t="s">
        <v>18</v>
      </c>
      <c r="C13" s="4"/>
      <c r="D13" s="5"/>
      <c r="E13" s="6"/>
      <c r="F13" s="16"/>
      <c r="G13" s="43"/>
      <c r="H13" s="49"/>
      <c r="I13" s="4"/>
      <c r="J13" s="71"/>
      <c r="K13" s="14"/>
      <c r="L13" s="16"/>
      <c r="M13" s="16"/>
      <c r="N13" s="76"/>
      <c r="O13" s="17"/>
    </row>
    <row r="14" spans="1:15" x14ac:dyDescent="0.55000000000000004">
      <c r="A14" s="2"/>
      <c r="B14" s="3" t="s">
        <v>19</v>
      </c>
      <c r="C14" s="4"/>
      <c r="D14" s="5"/>
      <c r="E14" s="7"/>
      <c r="F14" s="16"/>
      <c r="G14" s="43"/>
      <c r="H14" s="49"/>
      <c r="I14" s="4"/>
      <c r="J14" s="71"/>
      <c r="K14" s="14"/>
      <c r="L14" s="16"/>
      <c r="M14" s="16"/>
      <c r="N14" s="76"/>
      <c r="O14" s="17"/>
    </row>
    <row r="15" spans="1:15" x14ac:dyDescent="0.55000000000000004">
      <c r="A15" s="2"/>
      <c r="B15" s="3" t="s">
        <v>20</v>
      </c>
      <c r="C15" s="4"/>
      <c r="D15" s="5"/>
      <c r="E15" s="7"/>
      <c r="F15" s="16"/>
      <c r="G15" s="43"/>
      <c r="H15" s="49"/>
      <c r="I15" s="4"/>
      <c r="J15" s="71"/>
      <c r="K15" s="14"/>
      <c r="L15" s="16"/>
      <c r="M15" s="16"/>
      <c r="N15" s="76"/>
      <c r="O15" s="17"/>
    </row>
    <row r="16" spans="1:15" x14ac:dyDescent="0.55000000000000004">
      <c r="A16" s="2"/>
      <c r="B16" s="3" t="s">
        <v>21</v>
      </c>
      <c r="C16" s="4"/>
      <c r="D16" s="5"/>
      <c r="E16" s="7"/>
      <c r="F16" s="16"/>
      <c r="G16" s="43"/>
      <c r="H16" s="49"/>
      <c r="I16" s="4"/>
      <c r="J16" s="71"/>
      <c r="K16" s="14"/>
      <c r="L16" s="16"/>
      <c r="M16" s="16"/>
      <c r="N16" s="76"/>
      <c r="O16" s="17"/>
    </row>
    <row r="17" spans="1:15" x14ac:dyDescent="0.55000000000000004">
      <c r="A17" s="2"/>
      <c r="B17" s="3" t="s">
        <v>22</v>
      </c>
      <c r="C17" s="4"/>
      <c r="D17" s="5"/>
      <c r="E17" s="7"/>
      <c r="F17" s="16"/>
      <c r="G17" s="43"/>
      <c r="H17" s="49"/>
      <c r="I17" s="4"/>
      <c r="J17" s="71"/>
      <c r="K17" s="14"/>
      <c r="L17" s="16"/>
      <c r="M17" s="16"/>
      <c r="N17" s="76"/>
      <c r="O17" s="17"/>
    </row>
    <row r="18" spans="1:15" x14ac:dyDescent="0.55000000000000004">
      <c r="A18" s="2"/>
      <c r="B18" s="3" t="s">
        <v>23</v>
      </c>
      <c r="C18" s="4"/>
      <c r="D18" s="5"/>
      <c r="E18" s="7"/>
      <c r="F18" s="16"/>
      <c r="G18" s="43"/>
      <c r="H18" s="49"/>
      <c r="I18" s="4"/>
      <c r="J18" s="71"/>
      <c r="K18" s="14"/>
      <c r="L18" s="16"/>
      <c r="M18" s="16"/>
      <c r="N18" s="76"/>
      <c r="O18" s="17"/>
    </row>
    <row r="19" spans="1:15" x14ac:dyDescent="0.55000000000000004">
      <c r="A19" s="2"/>
      <c r="B19" s="3"/>
      <c r="C19" s="4"/>
      <c r="D19" s="5"/>
      <c r="E19" s="7"/>
      <c r="F19" s="16"/>
      <c r="G19" s="43"/>
      <c r="H19" s="49"/>
      <c r="I19" s="4"/>
      <c r="J19" s="71"/>
      <c r="K19" s="14"/>
      <c r="L19" s="16"/>
      <c r="M19" s="16"/>
      <c r="N19" s="76"/>
      <c r="O19" s="17"/>
    </row>
    <row r="20" spans="1:15" x14ac:dyDescent="0.55000000000000004">
      <c r="A20" s="2"/>
      <c r="B20" s="3" t="s">
        <v>24</v>
      </c>
      <c r="C20" s="4"/>
      <c r="D20" s="5"/>
      <c r="E20" s="7"/>
      <c r="F20" s="16"/>
      <c r="G20" s="43"/>
      <c r="H20" s="49"/>
      <c r="I20" s="4"/>
      <c r="J20" s="71"/>
      <c r="K20" s="14"/>
      <c r="L20" s="16"/>
      <c r="M20" s="16"/>
      <c r="N20" s="76"/>
      <c r="O20" s="17"/>
    </row>
    <row r="21" spans="1:15" x14ac:dyDescent="0.55000000000000004">
      <c r="A21" s="2"/>
      <c r="B21" s="3" t="s">
        <v>25</v>
      </c>
      <c r="C21" s="4"/>
      <c r="D21" s="5"/>
      <c r="E21" s="7"/>
      <c r="F21" s="16"/>
      <c r="G21" s="43"/>
      <c r="H21" s="49"/>
      <c r="I21" s="4"/>
      <c r="J21" s="71"/>
      <c r="K21" s="14"/>
      <c r="L21" s="16"/>
      <c r="M21" s="16"/>
      <c r="N21" s="76"/>
      <c r="O21" s="17"/>
    </row>
    <row r="22" spans="1:15" x14ac:dyDescent="0.55000000000000004">
      <c r="A22" s="2"/>
      <c r="B22" s="3" t="s">
        <v>26</v>
      </c>
      <c r="C22" s="4"/>
      <c r="D22" s="5"/>
      <c r="E22" s="7"/>
      <c r="F22" s="16"/>
      <c r="G22" s="43"/>
      <c r="H22" s="49"/>
      <c r="I22" s="4"/>
      <c r="J22" s="71"/>
      <c r="K22" s="14"/>
      <c r="L22" s="16"/>
      <c r="M22" s="16"/>
      <c r="N22" s="76"/>
      <c r="O22" s="17"/>
    </row>
    <row r="23" spans="1:15" x14ac:dyDescent="0.55000000000000004">
      <c r="A23" s="2"/>
      <c r="B23" s="3" t="s">
        <v>27</v>
      </c>
      <c r="C23" s="4"/>
      <c r="D23" s="5"/>
      <c r="E23" s="7"/>
      <c r="F23" s="16"/>
      <c r="G23" s="43"/>
      <c r="H23" s="49"/>
      <c r="I23" s="4"/>
      <c r="J23" s="71"/>
      <c r="K23" s="14"/>
      <c r="L23" s="16"/>
      <c r="M23" s="16"/>
      <c r="N23" s="76"/>
      <c r="O23" s="17"/>
    </row>
    <row r="24" spans="1:15" x14ac:dyDescent="0.55000000000000004">
      <c r="A24" s="2"/>
      <c r="B24" s="3" t="s">
        <v>28</v>
      </c>
      <c r="C24" s="4"/>
      <c r="D24" s="5"/>
      <c r="E24" s="7"/>
      <c r="F24" s="16"/>
      <c r="G24" s="43"/>
      <c r="H24" s="49"/>
      <c r="I24" s="4"/>
      <c r="J24" s="71"/>
      <c r="K24" s="14"/>
      <c r="L24" s="16"/>
      <c r="M24" s="16"/>
      <c r="N24" s="76"/>
      <c r="O24" s="17"/>
    </row>
    <row r="25" spans="1:15" x14ac:dyDescent="0.55000000000000004">
      <c r="A25" s="2"/>
      <c r="B25" s="3"/>
      <c r="C25" s="4"/>
      <c r="D25" s="5"/>
      <c r="E25" s="7"/>
      <c r="F25" s="16"/>
      <c r="G25" s="43"/>
      <c r="H25" s="49"/>
      <c r="I25" s="4"/>
      <c r="J25" s="71"/>
      <c r="K25" s="14"/>
      <c r="L25" s="16"/>
      <c r="M25" s="16"/>
      <c r="N25" s="76"/>
      <c r="O25" s="17"/>
    </row>
    <row r="26" spans="1:15" x14ac:dyDescent="0.55000000000000004">
      <c r="A26" s="2"/>
      <c r="B26" s="3" t="s">
        <v>29</v>
      </c>
      <c r="C26" s="4" t="s">
        <v>5</v>
      </c>
      <c r="D26" s="5">
        <v>1</v>
      </c>
      <c r="E26" s="6">
        <v>103229</v>
      </c>
      <c r="F26" s="16">
        <f>D26*E26</f>
        <v>103229</v>
      </c>
      <c r="G26" s="52">
        <v>2.3947335363588272E-3</v>
      </c>
      <c r="H26" s="57">
        <v>1</v>
      </c>
      <c r="I26" s="4" t="s">
        <v>5</v>
      </c>
      <c r="J26" s="71"/>
      <c r="K26" s="71">
        <v>0</v>
      </c>
      <c r="L26" s="71">
        <f>H26*J26</f>
        <v>0</v>
      </c>
      <c r="M26" s="71">
        <f>K26+L26</f>
        <v>0</v>
      </c>
      <c r="N26" s="77">
        <f>M26/43106674.89</f>
        <v>0</v>
      </c>
      <c r="O26" s="17"/>
    </row>
    <row r="27" spans="1:15" x14ac:dyDescent="0.55000000000000004">
      <c r="A27" s="2"/>
      <c r="B27" s="3"/>
      <c r="C27" s="4"/>
      <c r="D27" s="5"/>
      <c r="E27" s="7"/>
      <c r="F27" s="16"/>
      <c r="G27" s="44"/>
      <c r="H27" s="57"/>
      <c r="I27" s="4"/>
      <c r="J27" s="71"/>
      <c r="K27" s="14"/>
      <c r="L27" s="71"/>
      <c r="M27" s="71"/>
      <c r="N27" s="77"/>
      <c r="O27" s="17"/>
    </row>
    <row r="28" spans="1:15" x14ac:dyDescent="0.55000000000000004">
      <c r="A28" s="2"/>
      <c r="B28" s="3" t="s">
        <v>30</v>
      </c>
      <c r="C28" s="4"/>
      <c r="D28" s="5"/>
      <c r="E28" s="7"/>
      <c r="F28" s="16"/>
      <c r="G28" s="44"/>
      <c r="H28" s="57"/>
      <c r="I28" s="4"/>
      <c r="J28" s="71"/>
      <c r="K28" s="14"/>
      <c r="L28" s="71"/>
      <c r="M28" s="71"/>
      <c r="N28" s="77"/>
      <c r="O28" s="17"/>
    </row>
    <row r="29" spans="1:15" x14ac:dyDescent="0.55000000000000004">
      <c r="A29" s="2"/>
      <c r="B29" s="3" t="s">
        <v>31</v>
      </c>
      <c r="C29" s="4" t="s">
        <v>5</v>
      </c>
      <c r="D29" s="5">
        <v>1</v>
      </c>
      <c r="E29" s="6">
        <v>678976</v>
      </c>
      <c r="F29" s="16">
        <f t="shared" ref="F29:F90" si="0">D29*E29</f>
        <v>678976</v>
      </c>
      <c r="G29" s="44">
        <v>1.575106411553702E-2</v>
      </c>
      <c r="H29" s="57">
        <v>1</v>
      </c>
      <c r="I29" s="4" t="s">
        <v>5</v>
      </c>
      <c r="J29" s="71"/>
      <c r="K29" s="71">
        <v>0</v>
      </c>
      <c r="L29" s="71">
        <f t="shared" ref="L29:L32" si="1">H29*J29</f>
        <v>0</v>
      </c>
      <c r="M29" s="71">
        <f t="shared" ref="M29:M32" si="2">K29+L29</f>
        <v>0</v>
      </c>
      <c r="N29" s="77">
        <f t="shared" ref="N29:N32" si="3">M29/43106674.89</f>
        <v>0</v>
      </c>
      <c r="O29" s="17"/>
    </row>
    <row r="30" spans="1:15" x14ac:dyDescent="0.55000000000000004">
      <c r="A30" s="2"/>
      <c r="B30" s="3" t="s">
        <v>32</v>
      </c>
      <c r="C30" s="4" t="s">
        <v>5</v>
      </c>
      <c r="D30" s="5">
        <v>1</v>
      </c>
      <c r="E30" s="6">
        <v>279579.99999999994</v>
      </c>
      <c r="F30" s="16">
        <f t="shared" si="0"/>
        <v>279579.99999999994</v>
      </c>
      <c r="G30" s="44">
        <v>6.4857704917726687E-3</v>
      </c>
      <c r="H30" s="57">
        <v>1</v>
      </c>
      <c r="I30" s="4" t="s">
        <v>5</v>
      </c>
      <c r="J30" s="71"/>
      <c r="K30" s="71">
        <v>0</v>
      </c>
      <c r="L30" s="71">
        <f t="shared" si="1"/>
        <v>0</v>
      </c>
      <c r="M30" s="71">
        <f t="shared" si="2"/>
        <v>0</v>
      </c>
      <c r="N30" s="77">
        <f t="shared" si="3"/>
        <v>0</v>
      </c>
      <c r="O30" s="17"/>
    </row>
    <row r="31" spans="1:15" x14ac:dyDescent="0.55000000000000004">
      <c r="A31" s="2"/>
      <c r="B31" s="3" t="s">
        <v>33</v>
      </c>
      <c r="C31" s="4" t="s">
        <v>5</v>
      </c>
      <c r="D31" s="5">
        <v>1</v>
      </c>
      <c r="E31" s="6">
        <v>279579.99999999994</v>
      </c>
      <c r="F31" s="16">
        <f t="shared" si="0"/>
        <v>279579.99999999994</v>
      </c>
      <c r="G31" s="44">
        <v>6.4857704917726687E-3</v>
      </c>
      <c r="H31" s="57">
        <v>1</v>
      </c>
      <c r="I31" s="4" t="s">
        <v>5</v>
      </c>
      <c r="J31" s="71"/>
      <c r="K31" s="71">
        <v>0</v>
      </c>
      <c r="L31" s="71">
        <f t="shared" si="1"/>
        <v>0</v>
      </c>
      <c r="M31" s="71">
        <f t="shared" si="2"/>
        <v>0</v>
      </c>
      <c r="N31" s="77">
        <f t="shared" si="3"/>
        <v>0</v>
      </c>
      <c r="O31" s="17"/>
    </row>
    <row r="32" spans="1:15" x14ac:dyDescent="0.55000000000000004">
      <c r="A32" s="2"/>
      <c r="B32" s="3" t="s">
        <v>34</v>
      </c>
      <c r="C32" s="4" t="s">
        <v>5</v>
      </c>
      <c r="D32" s="5">
        <v>1</v>
      </c>
      <c r="E32" s="6">
        <v>319519</v>
      </c>
      <c r="F32" s="16">
        <f t="shared" si="0"/>
        <v>319519</v>
      </c>
      <c r="G32" s="44">
        <v>7.4122859351910429E-3</v>
      </c>
      <c r="H32" s="57">
        <v>1</v>
      </c>
      <c r="I32" s="4" t="s">
        <v>5</v>
      </c>
      <c r="J32" s="71"/>
      <c r="K32" s="71">
        <v>0</v>
      </c>
      <c r="L32" s="71">
        <f t="shared" si="1"/>
        <v>0</v>
      </c>
      <c r="M32" s="71">
        <f t="shared" si="2"/>
        <v>0</v>
      </c>
      <c r="N32" s="77">
        <f t="shared" si="3"/>
        <v>0</v>
      </c>
      <c r="O32" s="17"/>
    </row>
    <row r="33" spans="1:15" x14ac:dyDescent="0.55000000000000004">
      <c r="A33" s="2"/>
      <c r="B33" s="3"/>
      <c r="C33" s="4"/>
      <c r="D33" s="5"/>
      <c r="E33" s="7"/>
      <c r="F33" s="16"/>
      <c r="G33" s="44"/>
      <c r="H33" s="57"/>
      <c r="I33" s="4"/>
      <c r="J33" s="71"/>
      <c r="K33" s="14"/>
      <c r="L33" s="71"/>
      <c r="M33" s="71"/>
      <c r="N33" s="77"/>
      <c r="O33" s="17"/>
    </row>
    <row r="34" spans="1:15" x14ac:dyDescent="0.55000000000000004">
      <c r="A34" s="2"/>
      <c r="B34" s="3" t="s">
        <v>35</v>
      </c>
      <c r="C34" s="4"/>
      <c r="D34" s="5"/>
      <c r="E34" s="7"/>
      <c r="F34" s="16"/>
      <c r="G34" s="44"/>
      <c r="H34" s="57"/>
      <c r="I34" s="4"/>
      <c r="J34" s="71"/>
      <c r="K34" s="14"/>
      <c r="L34" s="71"/>
      <c r="M34" s="71"/>
      <c r="N34" s="77"/>
      <c r="O34" s="17"/>
    </row>
    <row r="35" spans="1:15" x14ac:dyDescent="0.55000000000000004">
      <c r="A35" s="2"/>
      <c r="B35" s="3" t="s">
        <v>36</v>
      </c>
      <c r="C35" s="4"/>
      <c r="D35" s="5"/>
      <c r="E35" s="7"/>
      <c r="F35" s="16"/>
      <c r="G35" s="44"/>
      <c r="H35" s="57"/>
      <c r="I35" s="4"/>
      <c r="J35" s="71"/>
      <c r="K35" s="14"/>
      <c r="L35" s="71"/>
      <c r="M35" s="71"/>
      <c r="N35" s="77"/>
      <c r="O35" s="17"/>
    </row>
    <row r="36" spans="1:15" x14ac:dyDescent="0.55000000000000004">
      <c r="A36" s="2"/>
      <c r="B36" s="3" t="s">
        <v>37</v>
      </c>
      <c r="C36" s="4" t="s">
        <v>5</v>
      </c>
      <c r="D36" s="5">
        <v>1</v>
      </c>
      <c r="E36" s="6">
        <v>51615</v>
      </c>
      <c r="F36" s="16">
        <f t="shared" si="0"/>
        <v>51615</v>
      </c>
      <c r="G36" s="44">
        <v>1.1973783673111323E-3</v>
      </c>
      <c r="H36" s="57">
        <v>1</v>
      </c>
      <c r="I36" s="4" t="s">
        <v>5</v>
      </c>
      <c r="J36" s="71"/>
      <c r="K36" s="71">
        <v>0</v>
      </c>
      <c r="L36" s="71">
        <f t="shared" ref="L36:L39" si="4">H36*J36</f>
        <v>0</v>
      </c>
      <c r="M36" s="71">
        <f t="shared" ref="M36:M39" si="5">K36+L36</f>
        <v>0</v>
      </c>
      <c r="N36" s="77">
        <f t="shared" ref="N36:N39" si="6">M36/43106674.89</f>
        <v>0</v>
      </c>
      <c r="O36" s="17"/>
    </row>
    <row r="37" spans="1:15" x14ac:dyDescent="0.55000000000000004">
      <c r="A37" s="2"/>
      <c r="B37" s="3" t="s">
        <v>38</v>
      </c>
      <c r="C37" s="4" t="s">
        <v>5</v>
      </c>
      <c r="D37" s="5">
        <v>1</v>
      </c>
      <c r="E37" s="6">
        <v>14747</v>
      </c>
      <c r="F37" s="16">
        <f t="shared" si="0"/>
        <v>14747</v>
      </c>
      <c r="G37" s="44">
        <v>3.421047909084039E-4</v>
      </c>
      <c r="H37" s="57">
        <v>1</v>
      </c>
      <c r="I37" s="4" t="s">
        <v>5</v>
      </c>
      <c r="J37" s="71"/>
      <c r="K37" s="71">
        <v>0</v>
      </c>
      <c r="L37" s="71">
        <f t="shared" si="4"/>
        <v>0</v>
      </c>
      <c r="M37" s="71">
        <f t="shared" si="5"/>
        <v>0</v>
      </c>
      <c r="N37" s="77">
        <f t="shared" si="6"/>
        <v>0</v>
      </c>
      <c r="O37" s="17"/>
    </row>
    <row r="38" spans="1:15" x14ac:dyDescent="0.55000000000000004">
      <c r="A38" s="2"/>
      <c r="B38" s="3" t="s">
        <v>39</v>
      </c>
      <c r="C38" s="4" t="s">
        <v>5</v>
      </c>
      <c r="D38" s="5">
        <v>1</v>
      </c>
      <c r="E38" s="6">
        <v>7373.9999999999991</v>
      </c>
      <c r="F38" s="16">
        <f t="shared" si="0"/>
        <v>7373.9999999999991</v>
      </c>
      <c r="G38" s="44">
        <v>1.7106399458592054E-4</v>
      </c>
      <c r="H38" s="57">
        <v>1</v>
      </c>
      <c r="I38" s="4" t="s">
        <v>5</v>
      </c>
      <c r="J38" s="71"/>
      <c r="K38" s="71">
        <v>0</v>
      </c>
      <c r="L38" s="71">
        <f t="shared" si="4"/>
        <v>0</v>
      </c>
      <c r="M38" s="71">
        <f t="shared" si="5"/>
        <v>0</v>
      </c>
      <c r="N38" s="77">
        <f t="shared" si="6"/>
        <v>0</v>
      </c>
      <c r="O38" s="17"/>
    </row>
    <row r="39" spans="1:15" x14ac:dyDescent="0.55000000000000004">
      <c r="A39" s="2"/>
      <c r="B39" s="3" t="s">
        <v>40</v>
      </c>
      <c r="C39" s="4" t="s">
        <v>5</v>
      </c>
      <c r="D39" s="5">
        <v>1</v>
      </c>
      <c r="E39" s="6">
        <v>184338</v>
      </c>
      <c r="F39" s="16">
        <f t="shared" si="0"/>
        <v>184338</v>
      </c>
      <c r="G39" s="44">
        <v>4.2763214854867676E-3</v>
      </c>
      <c r="H39" s="57">
        <v>1</v>
      </c>
      <c r="I39" s="4" t="s">
        <v>5</v>
      </c>
      <c r="J39" s="71"/>
      <c r="K39" s="71">
        <v>0</v>
      </c>
      <c r="L39" s="71">
        <f t="shared" si="4"/>
        <v>0</v>
      </c>
      <c r="M39" s="71">
        <f t="shared" si="5"/>
        <v>0</v>
      </c>
      <c r="N39" s="77">
        <f t="shared" si="6"/>
        <v>0</v>
      </c>
      <c r="O39" s="17"/>
    </row>
    <row r="40" spans="1:15" x14ac:dyDescent="0.55000000000000004">
      <c r="A40" s="2"/>
      <c r="B40" s="3"/>
      <c r="C40" s="4"/>
      <c r="D40" s="5"/>
      <c r="E40" s="7"/>
      <c r="F40" s="16"/>
      <c r="G40" s="44"/>
      <c r="H40" s="57"/>
      <c r="I40" s="4"/>
      <c r="J40" s="71"/>
      <c r="K40" s="14"/>
      <c r="L40" s="71"/>
      <c r="M40" s="71"/>
      <c r="N40" s="77"/>
      <c r="O40" s="17"/>
    </row>
    <row r="41" spans="1:15" x14ac:dyDescent="0.55000000000000004">
      <c r="A41" s="2"/>
      <c r="B41" s="3" t="s">
        <v>41</v>
      </c>
      <c r="C41" s="4"/>
      <c r="D41" s="5"/>
      <c r="E41" s="7"/>
      <c r="F41" s="16"/>
      <c r="G41" s="44"/>
      <c r="H41" s="57"/>
      <c r="I41" s="4"/>
      <c r="J41" s="71"/>
      <c r="K41" s="14"/>
      <c r="L41" s="71"/>
      <c r="M41" s="71"/>
      <c r="N41" s="77"/>
      <c r="O41" s="17"/>
    </row>
    <row r="42" spans="1:15" x14ac:dyDescent="0.55000000000000004">
      <c r="A42" s="2"/>
      <c r="B42" s="3" t="s">
        <v>42</v>
      </c>
      <c r="C42" s="4"/>
      <c r="D42" s="5"/>
      <c r="E42" s="7"/>
      <c r="F42" s="16"/>
      <c r="G42" s="44"/>
      <c r="H42" s="57"/>
      <c r="I42" s="4"/>
      <c r="J42" s="71"/>
      <c r="K42" s="14"/>
      <c r="L42" s="71"/>
      <c r="M42" s="71"/>
      <c r="N42" s="77"/>
      <c r="O42" s="17"/>
    </row>
    <row r="43" spans="1:15" x14ac:dyDescent="0.55000000000000004">
      <c r="A43" s="2"/>
      <c r="B43" s="3" t="s">
        <v>43</v>
      </c>
      <c r="C43" s="4"/>
      <c r="D43" s="5"/>
      <c r="E43" s="7"/>
      <c r="F43" s="16"/>
      <c r="G43" s="44"/>
      <c r="H43" s="57"/>
      <c r="I43" s="4"/>
      <c r="J43" s="71"/>
      <c r="K43" s="14"/>
      <c r="L43" s="71"/>
      <c r="M43" s="71"/>
      <c r="N43" s="77"/>
      <c r="O43" s="17"/>
    </row>
    <row r="44" spans="1:15" x14ac:dyDescent="0.55000000000000004">
      <c r="A44" s="2"/>
      <c r="B44" s="3"/>
      <c r="C44" s="4"/>
      <c r="D44" s="5"/>
      <c r="E44" s="7"/>
      <c r="F44" s="16"/>
      <c r="G44" s="44"/>
      <c r="H44" s="57"/>
      <c r="I44" s="4"/>
      <c r="J44" s="71"/>
      <c r="K44" s="14"/>
      <c r="L44" s="71"/>
      <c r="M44" s="71"/>
      <c r="N44" s="77"/>
      <c r="O44" s="17"/>
    </row>
    <row r="45" spans="1:15" x14ac:dyDescent="0.55000000000000004">
      <c r="A45" s="2"/>
      <c r="B45" s="3"/>
      <c r="C45" s="4"/>
      <c r="D45" s="5"/>
      <c r="E45" s="7"/>
      <c r="F45" s="16"/>
      <c r="G45" s="44"/>
      <c r="H45" s="57"/>
      <c r="I45" s="4"/>
      <c r="J45" s="71"/>
      <c r="K45" s="14"/>
      <c r="L45" s="71"/>
      <c r="M45" s="71"/>
      <c r="N45" s="77"/>
      <c r="O45" s="17"/>
    </row>
    <row r="46" spans="1:15" x14ac:dyDescent="0.55000000000000004">
      <c r="A46" s="2"/>
      <c r="B46" s="3" t="s">
        <v>44</v>
      </c>
      <c r="C46" s="4"/>
      <c r="D46" s="5"/>
      <c r="E46" s="7"/>
      <c r="F46" s="16"/>
      <c r="G46" s="44"/>
      <c r="H46" s="57"/>
      <c r="I46" s="4"/>
      <c r="J46" s="71"/>
      <c r="K46" s="14"/>
      <c r="L46" s="71"/>
      <c r="M46" s="71"/>
      <c r="N46" s="77"/>
      <c r="O46" s="17"/>
    </row>
    <row r="47" spans="1:15" x14ac:dyDescent="0.55000000000000004">
      <c r="A47" s="2"/>
      <c r="B47" s="3" t="s">
        <v>45</v>
      </c>
      <c r="C47" s="4" t="s">
        <v>5</v>
      </c>
      <c r="D47" s="5">
        <v>1</v>
      </c>
      <c r="E47" s="6">
        <v>331806.99999999994</v>
      </c>
      <c r="F47" s="16">
        <f t="shared" si="0"/>
        <v>331806.99999999994</v>
      </c>
      <c r="G47" s="44">
        <v>7.6973461963073678E-3</v>
      </c>
      <c r="H47" s="57">
        <v>1</v>
      </c>
      <c r="I47" s="4" t="s">
        <v>5</v>
      </c>
      <c r="J47" s="71"/>
      <c r="K47" s="71">
        <v>0</v>
      </c>
      <c r="L47" s="71">
        <f>H47*J47</f>
        <v>0</v>
      </c>
      <c r="M47" s="71">
        <f>K47+L47</f>
        <v>0</v>
      </c>
      <c r="N47" s="77">
        <f>M47/43106674.89</f>
        <v>0</v>
      </c>
      <c r="O47" s="17"/>
    </row>
    <row r="48" spans="1:15" x14ac:dyDescent="0.55000000000000004">
      <c r="A48" s="2"/>
      <c r="B48" s="3" t="s">
        <v>46</v>
      </c>
      <c r="C48" s="4" t="s">
        <v>5</v>
      </c>
      <c r="D48" s="5">
        <v>1</v>
      </c>
      <c r="E48" s="6">
        <v>73735</v>
      </c>
      <c r="F48" s="16">
        <f t="shared" si="0"/>
        <v>73735</v>
      </c>
      <c r="G48" s="44">
        <v>1.7105239545420195E-3</v>
      </c>
      <c r="H48" s="57">
        <v>1</v>
      </c>
      <c r="I48" s="4" t="s">
        <v>5</v>
      </c>
      <c r="J48" s="71"/>
      <c r="K48" s="71">
        <v>0</v>
      </c>
      <c r="L48" s="71">
        <f>H48*J48</f>
        <v>0</v>
      </c>
      <c r="M48" s="71">
        <f>K48+L48</f>
        <v>0</v>
      </c>
      <c r="N48" s="77">
        <f>M48/43106674.89</f>
        <v>0</v>
      </c>
      <c r="O48" s="17"/>
    </row>
    <row r="49" spans="1:15" x14ac:dyDescent="0.55000000000000004">
      <c r="A49" s="2"/>
      <c r="B49" s="3" t="s">
        <v>47</v>
      </c>
      <c r="C49" s="4" t="s">
        <v>5</v>
      </c>
      <c r="D49" s="5">
        <v>1</v>
      </c>
      <c r="E49" s="7"/>
      <c r="F49" s="16"/>
      <c r="G49" s="44"/>
      <c r="H49" s="57"/>
      <c r="I49" s="4"/>
      <c r="J49" s="71"/>
      <c r="K49" s="14"/>
      <c r="L49" s="71"/>
      <c r="M49" s="71"/>
      <c r="N49" s="77"/>
      <c r="O49" s="17"/>
    </row>
    <row r="50" spans="1:15" x14ac:dyDescent="0.55000000000000004">
      <c r="A50" s="2"/>
      <c r="B50" s="3"/>
      <c r="C50" s="4"/>
      <c r="D50" s="5"/>
      <c r="E50" s="7"/>
      <c r="F50" s="16"/>
      <c r="G50" s="44"/>
      <c r="H50" s="57"/>
      <c r="I50" s="4"/>
      <c r="J50" s="71"/>
      <c r="K50" s="14"/>
      <c r="L50" s="71"/>
      <c r="M50" s="71"/>
      <c r="N50" s="77"/>
      <c r="O50" s="17"/>
    </row>
    <row r="51" spans="1:15" x14ac:dyDescent="0.55000000000000004">
      <c r="A51" s="2"/>
      <c r="B51" s="3" t="s">
        <v>48</v>
      </c>
      <c r="C51" s="4"/>
      <c r="D51" s="5"/>
      <c r="E51" s="7"/>
      <c r="F51" s="16"/>
      <c r="G51" s="44"/>
      <c r="H51" s="57"/>
      <c r="I51" s="4"/>
      <c r="J51" s="71"/>
      <c r="K51" s="14"/>
      <c r="L51" s="71"/>
      <c r="M51" s="71"/>
      <c r="N51" s="77"/>
      <c r="O51" s="17"/>
    </row>
    <row r="52" spans="1:15" x14ac:dyDescent="0.55000000000000004">
      <c r="A52" s="2"/>
      <c r="B52" s="3" t="s">
        <v>49</v>
      </c>
      <c r="C52" s="4" t="s">
        <v>5</v>
      </c>
      <c r="D52" s="5">
        <v>1</v>
      </c>
      <c r="E52" s="6">
        <v>117976</v>
      </c>
      <c r="F52" s="16">
        <f t="shared" si="0"/>
        <v>117976</v>
      </c>
      <c r="G52" s="44">
        <v>2.7368383272672312E-3</v>
      </c>
      <c r="H52" s="57">
        <v>1</v>
      </c>
      <c r="I52" s="4" t="s">
        <v>5</v>
      </c>
      <c r="J52" s="71"/>
      <c r="K52" s="71">
        <v>0</v>
      </c>
      <c r="L52" s="71">
        <f>H52*J52</f>
        <v>0</v>
      </c>
      <c r="M52" s="71">
        <f>K52+L52</f>
        <v>0</v>
      </c>
      <c r="N52" s="77">
        <f>M52/43106674.89</f>
        <v>0</v>
      </c>
      <c r="O52" s="17"/>
    </row>
    <row r="53" spans="1:15" x14ac:dyDescent="0.55000000000000004">
      <c r="A53" s="2"/>
      <c r="B53" s="3" t="s">
        <v>50</v>
      </c>
      <c r="C53" s="4"/>
      <c r="D53" s="5"/>
      <c r="E53" s="7"/>
      <c r="F53" s="16"/>
      <c r="G53" s="44"/>
      <c r="H53" s="57"/>
      <c r="I53" s="4"/>
      <c r="J53" s="71"/>
      <c r="K53" s="14"/>
      <c r="L53" s="71"/>
      <c r="M53" s="71"/>
      <c r="N53" s="77"/>
      <c r="O53" s="17"/>
    </row>
    <row r="54" spans="1:15" x14ac:dyDescent="0.55000000000000004">
      <c r="A54" s="2"/>
      <c r="B54" s="3"/>
      <c r="C54" s="4"/>
      <c r="D54" s="5"/>
      <c r="E54" s="7"/>
      <c r="F54" s="16"/>
      <c r="G54" s="44"/>
      <c r="H54" s="57"/>
      <c r="I54" s="4"/>
      <c r="J54" s="71"/>
      <c r="K54" s="14"/>
      <c r="L54" s="71"/>
      <c r="M54" s="71"/>
      <c r="N54" s="77"/>
      <c r="O54" s="17"/>
    </row>
    <row r="55" spans="1:15" x14ac:dyDescent="0.55000000000000004">
      <c r="A55" s="2"/>
      <c r="B55" s="3" t="s">
        <v>51</v>
      </c>
      <c r="C55" s="4"/>
      <c r="D55" s="5"/>
      <c r="E55" s="7"/>
      <c r="F55" s="16"/>
      <c r="G55" s="44"/>
      <c r="H55" s="57"/>
      <c r="I55" s="4"/>
      <c r="J55" s="71"/>
      <c r="K55" s="14"/>
      <c r="L55" s="71"/>
      <c r="M55" s="71"/>
      <c r="N55" s="77"/>
      <c r="O55" s="17"/>
    </row>
    <row r="56" spans="1:15" x14ac:dyDescent="0.55000000000000004">
      <c r="A56" s="2"/>
      <c r="B56" s="3" t="s">
        <v>52</v>
      </c>
      <c r="C56" s="4" t="s">
        <v>5</v>
      </c>
      <c r="D56" s="5">
        <v>1</v>
      </c>
      <c r="E56" s="6">
        <v>147470</v>
      </c>
      <c r="F56" s="16">
        <f t="shared" si="0"/>
        <v>147470</v>
      </c>
      <c r="G56" s="44">
        <v>3.4210479090840389E-3</v>
      </c>
      <c r="H56" s="57">
        <v>1</v>
      </c>
      <c r="I56" s="4" t="s">
        <v>5</v>
      </c>
      <c r="J56" s="71"/>
      <c r="K56" s="71">
        <v>0</v>
      </c>
      <c r="L56" s="71">
        <f t="shared" ref="L56:L57" si="7">H56*J56</f>
        <v>0</v>
      </c>
      <c r="M56" s="71">
        <f t="shared" ref="M56:M57" si="8">K56+L56</f>
        <v>0</v>
      </c>
      <c r="N56" s="77">
        <f t="shared" ref="N56:N57" si="9">M56/43106674.89</f>
        <v>0</v>
      </c>
      <c r="O56" s="17"/>
    </row>
    <row r="57" spans="1:15" x14ac:dyDescent="0.55000000000000004">
      <c r="A57" s="8"/>
      <c r="B57" s="3" t="s">
        <v>53</v>
      </c>
      <c r="C57" s="4" t="s">
        <v>5</v>
      </c>
      <c r="D57" s="5">
        <v>1</v>
      </c>
      <c r="E57" s="6">
        <v>110603</v>
      </c>
      <c r="F57" s="16">
        <f t="shared" si="0"/>
        <v>110603</v>
      </c>
      <c r="G57" s="44">
        <v>2.5657975309447477E-3</v>
      </c>
      <c r="H57" s="57">
        <v>1</v>
      </c>
      <c r="I57" s="4" t="s">
        <v>5</v>
      </c>
      <c r="J57" s="71"/>
      <c r="K57" s="71">
        <v>0</v>
      </c>
      <c r="L57" s="71">
        <f t="shared" si="7"/>
        <v>0</v>
      </c>
      <c r="M57" s="71">
        <f t="shared" si="8"/>
        <v>0</v>
      </c>
      <c r="N57" s="77">
        <f t="shared" si="9"/>
        <v>0</v>
      </c>
      <c r="O57" s="17"/>
    </row>
    <row r="58" spans="1:15" x14ac:dyDescent="0.55000000000000004">
      <c r="A58" s="2"/>
      <c r="B58" s="3" t="s">
        <v>54</v>
      </c>
      <c r="C58" s="4"/>
      <c r="D58" s="5"/>
      <c r="E58" s="7"/>
      <c r="F58" s="16"/>
      <c r="G58" s="44"/>
      <c r="H58" s="57"/>
      <c r="I58" s="4"/>
      <c r="J58" s="71"/>
      <c r="K58" s="14"/>
      <c r="L58" s="71"/>
      <c r="M58" s="71"/>
      <c r="N58" s="77"/>
      <c r="O58" s="17"/>
    </row>
    <row r="59" spans="1:15" x14ac:dyDescent="0.55000000000000004">
      <c r="A59" s="2"/>
      <c r="B59" s="3"/>
      <c r="C59" s="4"/>
      <c r="D59" s="5"/>
      <c r="E59" s="6"/>
      <c r="F59" s="16"/>
      <c r="G59" s="44"/>
      <c r="H59" s="57"/>
      <c r="I59" s="4"/>
      <c r="J59" s="71"/>
      <c r="K59" s="14"/>
      <c r="L59" s="71"/>
      <c r="M59" s="71"/>
      <c r="N59" s="77"/>
      <c r="O59" s="17"/>
    </row>
    <row r="60" spans="1:15" x14ac:dyDescent="0.55000000000000004">
      <c r="A60" s="2"/>
      <c r="B60" s="3"/>
      <c r="C60" s="4"/>
      <c r="D60" s="5"/>
      <c r="E60" s="6"/>
      <c r="F60" s="16"/>
      <c r="G60" s="44"/>
      <c r="H60" s="57"/>
      <c r="I60" s="4"/>
      <c r="J60" s="71"/>
      <c r="K60" s="14"/>
      <c r="L60" s="71"/>
      <c r="M60" s="71"/>
      <c r="N60" s="77"/>
      <c r="O60" s="17"/>
    </row>
    <row r="61" spans="1:15" x14ac:dyDescent="0.55000000000000004">
      <c r="A61" s="23"/>
      <c r="B61" s="24"/>
      <c r="C61" s="25"/>
      <c r="D61" s="26"/>
      <c r="E61" s="27"/>
      <c r="F61" s="16"/>
      <c r="G61" s="44"/>
      <c r="H61" s="57"/>
      <c r="I61" s="25"/>
      <c r="J61" s="71"/>
      <c r="K61" s="14"/>
      <c r="L61" s="71"/>
      <c r="M61" s="71"/>
      <c r="N61" s="77"/>
      <c r="O61" s="17"/>
    </row>
    <row r="62" spans="1:15" x14ac:dyDescent="0.55000000000000004">
      <c r="A62" s="28" t="s">
        <v>55</v>
      </c>
      <c r="B62" s="29" t="s">
        <v>56</v>
      </c>
      <c r="C62" s="30"/>
      <c r="D62" s="31"/>
      <c r="E62" s="32"/>
      <c r="F62" s="16"/>
      <c r="G62" s="44"/>
      <c r="H62" s="57"/>
      <c r="I62" s="30"/>
      <c r="J62" s="71"/>
      <c r="K62" s="14"/>
      <c r="L62" s="71"/>
      <c r="M62" s="71"/>
      <c r="N62" s="77"/>
      <c r="O62" s="17"/>
    </row>
    <row r="63" spans="1:15" x14ac:dyDescent="0.55000000000000004">
      <c r="A63" s="9"/>
      <c r="B63" s="10"/>
      <c r="C63" s="4"/>
      <c r="D63" s="5"/>
      <c r="E63" s="6"/>
      <c r="F63" s="16"/>
      <c r="G63" s="44"/>
      <c r="H63" s="57"/>
      <c r="I63" s="4"/>
      <c r="J63" s="71"/>
      <c r="K63" s="14"/>
      <c r="L63" s="71"/>
      <c r="M63" s="71"/>
      <c r="N63" s="77"/>
      <c r="O63" s="17"/>
    </row>
    <row r="64" spans="1:15" x14ac:dyDescent="0.55000000000000004">
      <c r="A64" s="9"/>
      <c r="B64" s="10" t="s">
        <v>57</v>
      </c>
      <c r="C64" s="4"/>
      <c r="D64" s="5"/>
      <c r="E64" s="6"/>
      <c r="F64" s="16"/>
      <c r="G64" s="44"/>
      <c r="H64" s="57"/>
      <c r="I64" s="4"/>
      <c r="J64" s="71"/>
      <c r="K64" s="14"/>
      <c r="L64" s="71"/>
      <c r="M64" s="71"/>
      <c r="N64" s="77"/>
      <c r="O64" s="17"/>
    </row>
    <row r="65" spans="1:15" x14ac:dyDescent="0.55000000000000004">
      <c r="A65" s="9"/>
      <c r="B65" s="10"/>
      <c r="C65" s="4"/>
      <c r="D65" s="5"/>
      <c r="E65" s="6"/>
      <c r="F65" s="16"/>
      <c r="G65" s="44"/>
      <c r="H65" s="57"/>
      <c r="I65" s="4"/>
      <c r="J65" s="71"/>
      <c r="K65" s="14"/>
      <c r="L65" s="71"/>
      <c r="M65" s="71"/>
      <c r="N65" s="77"/>
      <c r="O65" s="17"/>
    </row>
    <row r="66" spans="1:15" x14ac:dyDescent="0.55000000000000004">
      <c r="A66" s="9" t="s">
        <v>58</v>
      </c>
      <c r="B66" s="10" t="s">
        <v>59</v>
      </c>
      <c r="C66" s="4"/>
      <c r="D66" s="5"/>
      <c r="E66" s="6"/>
      <c r="F66" s="16"/>
      <c r="G66" s="44"/>
      <c r="H66" s="57"/>
      <c r="I66" s="4"/>
      <c r="J66" s="71"/>
      <c r="K66" s="14"/>
      <c r="L66" s="71"/>
      <c r="M66" s="71"/>
      <c r="N66" s="77"/>
      <c r="O66" s="17"/>
    </row>
    <row r="67" spans="1:15" x14ac:dyDescent="0.55000000000000004">
      <c r="A67" s="9"/>
      <c r="B67" s="10" t="s">
        <v>60</v>
      </c>
      <c r="C67" s="4" t="s">
        <v>61</v>
      </c>
      <c r="D67" s="5">
        <v>3</v>
      </c>
      <c r="E67" s="6">
        <v>741057.71</v>
      </c>
      <c r="F67" s="16">
        <f t="shared" si="0"/>
        <v>2223173.13</v>
      </c>
      <c r="G67" s="44">
        <v>5.1573755936246815E-2</v>
      </c>
      <c r="H67" s="57"/>
      <c r="I67" s="4" t="s">
        <v>61</v>
      </c>
      <c r="J67" s="71">
        <f>H67*E67</f>
        <v>0</v>
      </c>
      <c r="K67" s="71">
        <v>0</v>
      </c>
      <c r="L67" s="71">
        <f t="shared" ref="L67:L70" si="10">H67*J67</f>
        <v>0</v>
      </c>
      <c r="M67" s="71">
        <f t="shared" ref="M67:M70" si="11">K67+L67</f>
        <v>0</v>
      </c>
      <c r="N67" s="77">
        <f t="shared" ref="N67:N70" si="12">M67/43106674.89</f>
        <v>0</v>
      </c>
      <c r="O67" s="17"/>
    </row>
    <row r="68" spans="1:15" ht="42.3" x14ac:dyDescent="0.55000000000000004">
      <c r="A68" s="9"/>
      <c r="B68" s="10" t="s">
        <v>62</v>
      </c>
      <c r="C68" s="4" t="s">
        <v>61</v>
      </c>
      <c r="D68" s="5">
        <v>6</v>
      </c>
      <c r="E68" s="6">
        <v>55087.339999999989</v>
      </c>
      <c r="F68" s="16">
        <f t="shared" si="0"/>
        <v>330524.03999999992</v>
      </c>
      <c r="G68" s="44">
        <v>7.6675837522479761E-3</v>
      </c>
      <c r="H68" s="57"/>
      <c r="I68" s="4" t="s">
        <v>61</v>
      </c>
      <c r="J68" s="71">
        <f t="shared" ref="J68:J70" si="13">H68*E68</f>
        <v>0</v>
      </c>
      <c r="K68" s="71">
        <v>0</v>
      </c>
      <c r="L68" s="71">
        <f t="shared" si="10"/>
        <v>0</v>
      </c>
      <c r="M68" s="71">
        <f t="shared" si="11"/>
        <v>0</v>
      </c>
      <c r="N68" s="77">
        <f t="shared" si="12"/>
        <v>0</v>
      </c>
      <c r="O68" s="17"/>
    </row>
    <row r="69" spans="1:15" ht="42.3" x14ac:dyDescent="0.55000000000000004">
      <c r="A69" s="9"/>
      <c r="B69" s="10" t="s">
        <v>63</v>
      </c>
      <c r="C69" s="4" t="s">
        <v>61</v>
      </c>
      <c r="D69" s="5">
        <v>3</v>
      </c>
      <c r="E69" s="6">
        <v>56222.860000000008</v>
      </c>
      <c r="F69" s="16">
        <f t="shared" si="0"/>
        <v>168668.58000000002</v>
      </c>
      <c r="G69" s="44">
        <v>3.9128181524186205E-3</v>
      </c>
      <c r="H69" s="57"/>
      <c r="I69" s="4" t="s">
        <v>61</v>
      </c>
      <c r="J69" s="71">
        <f t="shared" si="13"/>
        <v>0</v>
      </c>
      <c r="K69" s="71">
        <v>0</v>
      </c>
      <c r="L69" s="71">
        <f t="shared" si="10"/>
        <v>0</v>
      </c>
      <c r="M69" s="71">
        <f t="shared" si="11"/>
        <v>0</v>
      </c>
      <c r="N69" s="77">
        <f t="shared" si="12"/>
        <v>0</v>
      </c>
      <c r="O69" s="17"/>
    </row>
    <row r="70" spans="1:15" ht="42.3" x14ac:dyDescent="0.55000000000000004">
      <c r="A70" s="9"/>
      <c r="B70" s="10" t="s">
        <v>64</v>
      </c>
      <c r="C70" s="4" t="s">
        <v>61</v>
      </c>
      <c r="D70" s="5">
        <v>2</v>
      </c>
      <c r="E70" s="6">
        <v>87530.69</v>
      </c>
      <c r="F70" s="16">
        <f t="shared" si="0"/>
        <v>175061.38</v>
      </c>
      <c r="G70" s="44">
        <v>4.061120010919959E-3</v>
      </c>
      <c r="H70" s="57"/>
      <c r="I70" s="4" t="s">
        <v>61</v>
      </c>
      <c r="J70" s="71">
        <f t="shared" si="13"/>
        <v>0</v>
      </c>
      <c r="K70" s="71">
        <v>0</v>
      </c>
      <c r="L70" s="71">
        <f t="shared" si="10"/>
        <v>0</v>
      </c>
      <c r="M70" s="71">
        <f t="shared" si="11"/>
        <v>0</v>
      </c>
      <c r="N70" s="77">
        <f t="shared" si="12"/>
        <v>0</v>
      </c>
      <c r="O70" s="17"/>
    </row>
    <row r="71" spans="1:15" x14ac:dyDescent="0.55000000000000004">
      <c r="A71" s="9"/>
      <c r="B71" s="10"/>
      <c r="C71" s="4"/>
      <c r="D71" s="5"/>
      <c r="E71" s="6"/>
      <c r="F71" s="16"/>
      <c r="G71" s="44"/>
      <c r="H71" s="57"/>
      <c r="I71" s="4"/>
      <c r="J71" s="71"/>
      <c r="K71" s="14"/>
      <c r="L71" s="71"/>
      <c r="M71" s="71"/>
      <c r="N71" s="77"/>
      <c r="O71" s="17"/>
    </row>
    <row r="72" spans="1:15" x14ac:dyDescent="0.55000000000000004">
      <c r="A72" s="9"/>
      <c r="B72" s="10" t="s">
        <v>65</v>
      </c>
      <c r="C72" s="4"/>
      <c r="D72" s="5"/>
      <c r="E72" s="6"/>
      <c r="F72" s="16"/>
      <c r="G72" s="44"/>
      <c r="H72" s="57"/>
      <c r="I72" s="4"/>
      <c r="J72" s="71"/>
      <c r="K72" s="14"/>
      <c r="L72" s="71"/>
      <c r="M72" s="71"/>
      <c r="N72" s="77"/>
      <c r="O72" s="17"/>
    </row>
    <row r="73" spans="1:15" x14ac:dyDescent="0.55000000000000004">
      <c r="A73" s="9"/>
      <c r="B73" s="10" t="s">
        <v>66</v>
      </c>
      <c r="C73" s="4" t="s">
        <v>61</v>
      </c>
      <c r="D73" s="5">
        <v>11</v>
      </c>
      <c r="E73" s="6">
        <v>11760.720000000003</v>
      </c>
      <c r="F73" s="16">
        <f t="shared" si="0"/>
        <v>129367.92000000003</v>
      </c>
      <c r="G73" s="44">
        <v>3.0011110884827514E-3</v>
      </c>
      <c r="H73" s="57"/>
      <c r="I73" s="4" t="s">
        <v>61</v>
      </c>
      <c r="J73" s="71">
        <f t="shared" ref="J73:J80" si="14">H73*E73</f>
        <v>0</v>
      </c>
      <c r="K73" s="71">
        <v>0</v>
      </c>
      <c r="L73" s="71">
        <f t="shared" ref="L73:L80" si="15">H73*J73</f>
        <v>0</v>
      </c>
      <c r="M73" s="71">
        <f t="shared" ref="M73:M80" si="16">K73+L73</f>
        <v>0</v>
      </c>
      <c r="N73" s="77">
        <f t="shared" ref="N73:N80" si="17">M73/43106674.89</f>
        <v>0</v>
      </c>
      <c r="O73" s="17"/>
    </row>
    <row r="74" spans="1:15" x14ac:dyDescent="0.55000000000000004">
      <c r="A74" s="9"/>
      <c r="B74" s="10" t="s">
        <v>67</v>
      </c>
      <c r="C74" s="4" t="s">
        <v>61</v>
      </c>
      <c r="D74" s="5">
        <v>2</v>
      </c>
      <c r="E74" s="6">
        <v>22345.370000000003</v>
      </c>
      <c r="F74" s="16">
        <f t="shared" si="0"/>
        <v>44690.740000000005</v>
      </c>
      <c r="G74" s="44">
        <v>1.0367475597234585E-3</v>
      </c>
      <c r="H74" s="57"/>
      <c r="I74" s="4" t="s">
        <v>61</v>
      </c>
      <c r="J74" s="71">
        <f t="shared" si="14"/>
        <v>0</v>
      </c>
      <c r="K74" s="71">
        <v>0</v>
      </c>
      <c r="L74" s="71">
        <f t="shared" si="15"/>
        <v>0</v>
      </c>
      <c r="M74" s="71">
        <f t="shared" si="16"/>
        <v>0</v>
      </c>
      <c r="N74" s="77">
        <f t="shared" si="17"/>
        <v>0</v>
      </c>
      <c r="O74" s="17"/>
    </row>
    <row r="75" spans="1:15" x14ac:dyDescent="0.55000000000000004">
      <c r="A75" s="9"/>
      <c r="B75" s="10" t="s">
        <v>68</v>
      </c>
      <c r="C75" s="4" t="s">
        <v>61</v>
      </c>
      <c r="D75" s="5">
        <v>2</v>
      </c>
      <c r="E75" s="6">
        <v>4351.47</v>
      </c>
      <c r="F75" s="16">
        <f t="shared" si="0"/>
        <v>8702.94</v>
      </c>
      <c r="G75" s="44">
        <v>2.0189309479815451E-4</v>
      </c>
      <c r="H75" s="57"/>
      <c r="I75" s="4" t="s">
        <v>61</v>
      </c>
      <c r="J75" s="71">
        <f t="shared" si="14"/>
        <v>0</v>
      </c>
      <c r="K75" s="71">
        <v>0</v>
      </c>
      <c r="L75" s="71">
        <f t="shared" si="15"/>
        <v>0</v>
      </c>
      <c r="M75" s="71">
        <f t="shared" si="16"/>
        <v>0</v>
      </c>
      <c r="N75" s="77">
        <f t="shared" si="17"/>
        <v>0</v>
      </c>
      <c r="O75" s="17"/>
    </row>
    <row r="76" spans="1:15" x14ac:dyDescent="0.55000000000000004">
      <c r="A76" s="9"/>
      <c r="B76" s="10" t="s">
        <v>69</v>
      </c>
      <c r="C76" s="4" t="s">
        <v>61</v>
      </c>
      <c r="D76" s="5">
        <v>2</v>
      </c>
      <c r="E76" s="6">
        <v>4939.5100000000011</v>
      </c>
      <c r="F76" s="16">
        <f t="shared" si="0"/>
        <v>9879.0200000000023</v>
      </c>
      <c r="G76" s="44">
        <v>2.2917610846137797E-4</v>
      </c>
      <c r="H76" s="57"/>
      <c r="I76" s="4" t="s">
        <v>61</v>
      </c>
      <c r="J76" s="71">
        <f t="shared" si="14"/>
        <v>0</v>
      </c>
      <c r="K76" s="71">
        <v>0</v>
      </c>
      <c r="L76" s="71">
        <f t="shared" si="15"/>
        <v>0</v>
      </c>
      <c r="M76" s="71">
        <f t="shared" si="16"/>
        <v>0</v>
      </c>
      <c r="N76" s="77">
        <f t="shared" si="17"/>
        <v>0</v>
      </c>
      <c r="O76" s="17"/>
    </row>
    <row r="77" spans="1:15" x14ac:dyDescent="0.55000000000000004">
      <c r="A77" s="9"/>
      <c r="B77" s="10" t="s">
        <v>70</v>
      </c>
      <c r="C77" s="4" t="s">
        <v>61</v>
      </c>
      <c r="D77" s="5">
        <v>3</v>
      </c>
      <c r="E77" s="6">
        <v>8232.51</v>
      </c>
      <c r="F77" s="16">
        <f t="shared" si="0"/>
        <v>24697.53</v>
      </c>
      <c r="G77" s="44">
        <v>5.7293980718817607E-4</v>
      </c>
      <c r="H77" s="57"/>
      <c r="I77" s="4" t="s">
        <v>61</v>
      </c>
      <c r="J77" s="71">
        <f t="shared" si="14"/>
        <v>0</v>
      </c>
      <c r="K77" s="71">
        <v>0</v>
      </c>
      <c r="L77" s="71">
        <f t="shared" si="15"/>
        <v>0</v>
      </c>
      <c r="M77" s="71">
        <f t="shared" si="16"/>
        <v>0</v>
      </c>
      <c r="N77" s="77">
        <f t="shared" si="17"/>
        <v>0</v>
      </c>
      <c r="O77" s="17"/>
    </row>
    <row r="78" spans="1:15" x14ac:dyDescent="0.55000000000000004">
      <c r="A78" s="9"/>
      <c r="B78" s="10" t="s">
        <v>71</v>
      </c>
      <c r="C78" s="4" t="s">
        <v>61</v>
      </c>
      <c r="D78" s="5">
        <v>3</v>
      </c>
      <c r="E78" s="6">
        <v>14112.87</v>
      </c>
      <c r="F78" s="16">
        <f t="shared" si="0"/>
        <v>42338.61</v>
      </c>
      <c r="G78" s="44">
        <v>9.8218222834491487E-4</v>
      </c>
      <c r="H78" s="57"/>
      <c r="I78" s="4" t="s">
        <v>61</v>
      </c>
      <c r="J78" s="71">
        <f t="shared" si="14"/>
        <v>0</v>
      </c>
      <c r="K78" s="71">
        <v>0</v>
      </c>
      <c r="L78" s="71">
        <f t="shared" si="15"/>
        <v>0</v>
      </c>
      <c r="M78" s="71">
        <f t="shared" si="16"/>
        <v>0</v>
      </c>
      <c r="N78" s="77">
        <f t="shared" si="17"/>
        <v>0</v>
      </c>
      <c r="O78" s="17"/>
    </row>
    <row r="79" spans="1:15" x14ac:dyDescent="0.55000000000000004">
      <c r="A79" s="9"/>
      <c r="B79" s="10" t="s">
        <v>72</v>
      </c>
      <c r="C79" s="4" t="s">
        <v>61</v>
      </c>
      <c r="D79" s="5">
        <v>3</v>
      </c>
      <c r="E79" s="6">
        <v>5997.9700000000012</v>
      </c>
      <c r="F79" s="16">
        <f t="shared" si="0"/>
        <v>17993.910000000003</v>
      </c>
      <c r="G79" s="44">
        <v>4.1742746444528643E-4</v>
      </c>
      <c r="H79" s="57"/>
      <c r="I79" s="4" t="s">
        <v>61</v>
      </c>
      <c r="J79" s="71">
        <f t="shared" si="14"/>
        <v>0</v>
      </c>
      <c r="K79" s="71">
        <v>0</v>
      </c>
      <c r="L79" s="71">
        <f t="shared" si="15"/>
        <v>0</v>
      </c>
      <c r="M79" s="71">
        <f t="shared" si="16"/>
        <v>0</v>
      </c>
      <c r="N79" s="77">
        <f t="shared" si="17"/>
        <v>0</v>
      </c>
      <c r="O79" s="17"/>
    </row>
    <row r="80" spans="1:15" x14ac:dyDescent="0.55000000000000004">
      <c r="A80" s="9"/>
      <c r="B80" s="10" t="s">
        <v>73</v>
      </c>
      <c r="C80" s="4" t="s">
        <v>61</v>
      </c>
      <c r="D80" s="5">
        <v>1</v>
      </c>
      <c r="E80" s="6">
        <v>39751.22</v>
      </c>
      <c r="F80" s="16">
        <f t="shared" si="0"/>
        <v>39751.22</v>
      </c>
      <c r="G80" s="44">
        <v>9.221592735101352E-4</v>
      </c>
      <c r="H80" s="57"/>
      <c r="I80" s="4" t="s">
        <v>61</v>
      </c>
      <c r="J80" s="71">
        <f t="shared" si="14"/>
        <v>0</v>
      </c>
      <c r="K80" s="71">
        <v>0</v>
      </c>
      <c r="L80" s="71">
        <f t="shared" si="15"/>
        <v>0</v>
      </c>
      <c r="M80" s="71">
        <f t="shared" si="16"/>
        <v>0</v>
      </c>
      <c r="N80" s="77">
        <f t="shared" si="17"/>
        <v>0</v>
      </c>
      <c r="O80" s="17"/>
    </row>
    <row r="81" spans="1:15" x14ac:dyDescent="0.55000000000000004">
      <c r="A81" s="9"/>
      <c r="B81" s="10"/>
      <c r="C81" s="4"/>
      <c r="D81" s="5"/>
      <c r="E81" s="6"/>
      <c r="F81" s="16"/>
      <c r="G81" s="44"/>
      <c r="H81" s="57"/>
      <c r="I81" s="4"/>
      <c r="J81" s="71"/>
      <c r="K81" s="14"/>
      <c r="L81" s="71"/>
      <c r="M81" s="71"/>
      <c r="N81" s="77"/>
      <c r="O81" s="17"/>
    </row>
    <row r="82" spans="1:15" x14ac:dyDescent="0.55000000000000004">
      <c r="A82" s="9"/>
      <c r="B82" s="10"/>
      <c r="C82" s="4"/>
      <c r="D82" s="5"/>
      <c r="E82" s="6"/>
      <c r="F82" s="16"/>
      <c r="G82" s="44"/>
      <c r="H82" s="57"/>
      <c r="I82" s="4"/>
      <c r="J82" s="71"/>
      <c r="K82" s="14"/>
      <c r="L82" s="71"/>
      <c r="M82" s="71"/>
      <c r="N82" s="77"/>
      <c r="O82" s="17"/>
    </row>
    <row r="83" spans="1:15" x14ac:dyDescent="0.55000000000000004">
      <c r="A83" s="9"/>
      <c r="B83" s="10" t="s">
        <v>74</v>
      </c>
      <c r="C83" s="4"/>
      <c r="D83" s="5"/>
      <c r="E83" s="6"/>
      <c r="F83" s="16"/>
      <c r="G83" s="44"/>
      <c r="H83" s="57"/>
      <c r="I83" s="4"/>
      <c r="J83" s="71"/>
      <c r="K83" s="14"/>
      <c r="L83" s="71"/>
      <c r="M83" s="71"/>
      <c r="N83" s="77"/>
      <c r="O83" s="17"/>
    </row>
    <row r="84" spans="1:15" x14ac:dyDescent="0.55000000000000004">
      <c r="A84" s="9"/>
      <c r="B84" s="10" t="s">
        <v>75</v>
      </c>
      <c r="C84" s="4" t="s">
        <v>76</v>
      </c>
      <c r="D84" s="5">
        <v>10</v>
      </c>
      <c r="E84" s="6">
        <v>2120.33</v>
      </c>
      <c r="F84" s="16">
        <f t="shared" si="0"/>
        <v>21203.3</v>
      </c>
      <c r="G84" s="44">
        <v>4.91879739138005E-4</v>
      </c>
      <c r="H84" s="57"/>
      <c r="I84" s="4" t="s">
        <v>76</v>
      </c>
      <c r="J84" s="71">
        <f t="shared" ref="J84:J92" si="18">H84*E84</f>
        <v>0</v>
      </c>
      <c r="K84" s="71">
        <v>0</v>
      </c>
      <c r="L84" s="71">
        <f t="shared" ref="L84:L92" si="19">H84*J84</f>
        <v>0</v>
      </c>
      <c r="M84" s="71">
        <f t="shared" ref="M84:M92" si="20">K84+L84</f>
        <v>0</v>
      </c>
      <c r="N84" s="77">
        <f t="shared" ref="N84:N92" si="21">M84/43106674.89</f>
        <v>0</v>
      </c>
      <c r="O84" s="17"/>
    </row>
    <row r="85" spans="1:15" x14ac:dyDescent="0.55000000000000004">
      <c r="A85" s="9"/>
      <c r="B85" s="10" t="s">
        <v>77</v>
      </c>
      <c r="C85" s="4" t="s">
        <v>76</v>
      </c>
      <c r="D85" s="5">
        <v>13</v>
      </c>
      <c r="E85" s="6">
        <v>2952.3500000000004</v>
      </c>
      <c r="F85" s="16">
        <f t="shared" si="0"/>
        <v>38380.550000000003</v>
      </c>
      <c r="G85" s="44">
        <v>8.9036210976466688E-4</v>
      </c>
      <c r="H85" s="57"/>
      <c r="I85" s="4" t="s">
        <v>76</v>
      </c>
      <c r="J85" s="71">
        <f t="shared" si="18"/>
        <v>0</v>
      </c>
      <c r="K85" s="71">
        <v>0</v>
      </c>
      <c r="L85" s="71">
        <f t="shared" si="19"/>
        <v>0</v>
      </c>
      <c r="M85" s="71">
        <f t="shared" si="20"/>
        <v>0</v>
      </c>
      <c r="N85" s="77">
        <f t="shared" si="21"/>
        <v>0</v>
      </c>
      <c r="O85" s="17"/>
    </row>
    <row r="86" spans="1:15" x14ac:dyDescent="0.55000000000000004">
      <c r="A86" s="9"/>
      <c r="B86" s="10" t="s">
        <v>78</v>
      </c>
      <c r="C86" s="4" t="s">
        <v>76</v>
      </c>
      <c r="D86" s="5">
        <v>14</v>
      </c>
      <c r="E86" s="6">
        <v>4696.92</v>
      </c>
      <c r="F86" s="16">
        <f t="shared" si="0"/>
        <v>65756.88</v>
      </c>
      <c r="G86" s="44">
        <v>1.5254454250484171E-3</v>
      </c>
      <c r="H86" s="57"/>
      <c r="I86" s="4" t="s">
        <v>76</v>
      </c>
      <c r="J86" s="71">
        <f t="shared" si="18"/>
        <v>0</v>
      </c>
      <c r="K86" s="71">
        <v>0</v>
      </c>
      <c r="L86" s="71">
        <f t="shared" si="19"/>
        <v>0</v>
      </c>
      <c r="M86" s="71">
        <f t="shared" si="20"/>
        <v>0</v>
      </c>
      <c r="N86" s="77">
        <f t="shared" si="21"/>
        <v>0</v>
      </c>
      <c r="O86" s="17"/>
    </row>
    <row r="87" spans="1:15" x14ac:dyDescent="0.55000000000000004">
      <c r="A87" s="9"/>
      <c r="B87" s="10" t="s">
        <v>79</v>
      </c>
      <c r="C87" s="4" t="s">
        <v>76</v>
      </c>
      <c r="D87" s="5">
        <v>9</v>
      </c>
      <c r="E87" s="6">
        <v>6775.95</v>
      </c>
      <c r="F87" s="16">
        <f t="shared" si="0"/>
        <v>60983.549999999996</v>
      </c>
      <c r="G87" s="44">
        <v>1.414712458235722E-3</v>
      </c>
      <c r="H87" s="57"/>
      <c r="I87" s="4" t="s">
        <v>76</v>
      </c>
      <c r="J87" s="71">
        <f t="shared" si="18"/>
        <v>0</v>
      </c>
      <c r="K87" s="71">
        <v>0</v>
      </c>
      <c r="L87" s="71">
        <f t="shared" si="19"/>
        <v>0</v>
      </c>
      <c r="M87" s="71">
        <f t="shared" si="20"/>
        <v>0</v>
      </c>
      <c r="N87" s="77">
        <f t="shared" si="21"/>
        <v>0</v>
      </c>
      <c r="O87" s="17"/>
    </row>
    <row r="88" spans="1:15" x14ac:dyDescent="0.55000000000000004">
      <c r="A88" s="9"/>
      <c r="B88" s="10" t="s">
        <v>80</v>
      </c>
      <c r="C88" s="4" t="s">
        <v>76</v>
      </c>
      <c r="D88" s="5">
        <v>9</v>
      </c>
      <c r="E88" s="6">
        <v>8642.33</v>
      </c>
      <c r="F88" s="16">
        <f t="shared" si="0"/>
        <v>77780.97</v>
      </c>
      <c r="G88" s="44">
        <v>1.8043834324610319E-3</v>
      </c>
      <c r="H88" s="57"/>
      <c r="I88" s="4" t="s">
        <v>76</v>
      </c>
      <c r="J88" s="71">
        <f t="shared" si="18"/>
        <v>0</v>
      </c>
      <c r="K88" s="71">
        <v>0</v>
      </c>
      <c r="L88" s="71">
        <f t="shared" si="19"/>
        <v>0</v>
      </c>
      <c r="M88" s="71">
        <f t="shared" si="20"/>
        <v>0</v>
      </c>
      <c r="N88" s="77">
        <f t="shared" si="21"/>
        <v>0</v>
      </c>
      <c r="O88" s="17"/>
    </row>
    <row r="89" spans="1:15" x14ac:dyDescent="0.55000000000000004">
      <c r="A89" s="9"/>
      <c r="B89" s="10" t="s">
        <v>81</v>
      </c>
      <c r="C89" s="4" t="s">
        <v>76</v>
      </c>
      <c r="D89" s="5">
        <v>2</v>
      </c>
      <c r="E89" s="6">
        <v>10870.01</v>
      </c>
      <c r="F89" s="16">
        <f t="shared" si="0"/>
        <v>21740.02</v>
      </c>
      <c r="G89" s="44">
        <v>5.0433071109001965E-4</v>
      </c>
      <c r="H89" s="57"/>
      <c r="I89" s="4" t="s">
        <v>76</v>
      </c>
      <c r="J89" s="71">
        <f t="shared" si="18"/>
        <v>0</v>
      </c>
      <c r="K89" s="71">
        <v>0</v>
      </c>
      <c r="L89" s="71">
        <f t="shared" si="19"/>
        <v>0</v>
      </c>
      <c r="M89" s="71">
        <f t="shared" si="20"/>
        <v>0</v>
      </c>
      <c r="N89" s="77">
        <f t="shared" si="21"/>
        <v>0</v>
      </c>
      <c r="O89" s="17"/>
    </row>
    <row r="90" spans="1:15" x14ac:dyDescent="0.55000000000000004">
      <c r="A90" s="9"/>
      <c r="B90" s="10" t="s">
        <v>82</v>
      </c>
      <c r="C90" s="4" t="s">
        <v>76</v>
      </c>
      <c r="D90" s="5">
        <v>8</v>
      </c>
      <c r="E90" s="6">
        <v>15566.920000000002</v>
      </c>
      <c r="F90" s="16">
        <f t="shared" si="0"/>
        <v>124535.36000000002</v>
      </c>
      <c r="G90" s="44">
        <v>2.8890040885266705E-3</v>
      </c>
      <c r="H90" s="57"/>
      <c r="I90" s="4" t="s">
        <v>76</v>
      </c>
      <c r="J90" s="71">
        <f t="shared" si="18"/>
        <v>0</v>
      </c>
      <c r="K90" s="71">
        <v>0</v>
      </c>
      <c r="L90" s="71">
        <f t="shared" si="19"/>
        <v>0</v>
      </c>
      <c r="M90" s="71">
        <f t="shared" si="20"/>
        <v>0</v>
      </c>
      <c r="N90" s="77">
        <f t="shared" si="21"/>
        <v>0</v>
      </c>
      <c r="O90" s="17"/>
    </row>
    <row r="91" spans="1:15" x14ac:dyDescent="0.55000000000000004">
      <c r="A91" s="9"/>
      <c r="B91" s="10" t="s">
        <v>83</v>
      </c>
      <c r="C91" s="4" t="s">
        <v>76</v>
      </c>
      <c r="D91" s="5">
        <v>5</v>
      </c>
      <c r="E91" s="6">
        <v>21015.330000000005</v>
      </c>
      <c r="F91" s="16">
        <f t="shared" ref="F91:F154" si="22">D91*E91</f>
        <v>105076.65000000002</v>
      </c>
      <c r="G91" s="44">
        <v>2.4375958077985723E-3</v>
      </c>
      <c r="H91" s="57"/>
      <c r="I91" s="4" t="s">
        <v>76</v>
      </c>
      <c r="J91" s="71">
        <f t="shared" si="18"/>
        <v>0</v>
      </c>
      <c r="K91" s="71">
        <v>0</v>
      </c>
      <c r="L91" s="71">
        <f t="shared" si="19"/>
        <v>0</v>
      </c>
      <c r="M91" s="71">
        <f t="shared" si="20"/>
        <v>0</v>
      </c>
      <c r="N91" s="77">
        <f t="shared" si="21"/>
        <v>0</v>
      </c>
      <c r="O91" s="17"/>
    </row>
    <row r="92" spans="1:15" x14ac:dyDescent="0.55000000000000004">
      <c r="A92" s="9"/>
      <c r="B92" s="10" t="s">
        <v>84</v>
      </c>
      <c r="C92" s="4" t="s">
        <v>76</v>
      </c>
      <c r="D92" s="5">
        <v>4</v>
      </c>
      <c r="E92" s="6">
        <v>21015.33</v>
      </c>
      <c r="F92" s="16">
        <f t="shared" si="22"/>
        <v>84061.32</v>
      </c>
      <c r="G92" s="44">
        <v>1.9500766462388576E-3</v>
      </c>
      <c r="H92" s="57"/>
      <c r="I92" s="4" t="s">
        <v>76</v>
      </c>
      <c r="J92" s="71">
        <f t="shared" si="18"/>
        <v>0</v>
      </c>
      <c r="K92" s="71">
        <v>0</v>
      </c>
      <c r="L92" s="71">
        <f t="shared" si="19"/>
        <v>0</v>
      </c>
      <c r="M92" s="71">
        <f t="shared" si="20"/>
        <v>0</v>
      </c>
      <c r="N92" s="77">
        <f t="shared" si="21"/>
        <v>0</v>
      </c>
      <c r="O92" s="17"/>
    </row>
    <row r="93" spans="1:15" x14ac:dyDescent="0.55000000000000004">
      <c r="A93" s="9"/>
      <c r="B93" s="10"/>
      <c r="C93" s="4"/>
      <c r="D93" s="5"/>
      <c r="E93" s="6"/>
      <c r="F93" s="16"/>
      <c r="G93" s="44"/>
      <c r="H93" s="57"/>
      <c r="I93" s="4"/>
      <c r="J93" s="71"/>
      <c r="K93" s="14"/>
      <c r="L93" s="71"/>
      <c r="M93" s="71"/>
      <c r="N93" s="77"/>
      <c r="O93" s="17"/>
    </row>
    <row r="94" spans="1:15" x14ac:dyDescent="0.55000000000000004">
      <c r="A94" s="9"/>
      <c r="B94" s="10" t="s">
        <v>85</v>
      </c>
      <c r="C94" s="4"/>
      <c r="D94" s="5"/>
      <c r="E94" s="6"/>
      <c r="F94" s="16"/>
      <c r="G94" s="44"/>
      <c r="H94" s="57"/>
      <c r="I94" s="4"/>
      <c r="J94" s="71"/>
      <c r="K94" s="14"/>
      <c r="L94" s="71"/>
      <c r="M94" s="71"/>
      <c r="N94" s="77"/>
      <c r="O94" s="17"/>
    </row>
    <row r="95" spans="1:15" x14ac:dyDescent="0.55000000000000004">
      <c r="A95" s="9"/>
      <c r="B95" s="10" t="s">
        <v>75</v>
      </c>
      <c r="C95" s="4" t="s">
        <v>76</v>
      </c>
      <c r="D95" s="5">
        <v>19</v>
      </c>
      <c r="E95" s="6">
        <v>433.57</v>
      </c>
      <c r="F95" s="16">
        <f t="shared" si="22"/>
        <v>8237.83</v>
      </c>
      <c r="G95" s="44">
        <v>1.9110335049087794E-4</v>
      </c>
      <c r="H95" s="57"/>
      <c r="I95" s="4" t="s">
        <v>76</v>
      </c>
      <c r="J95" s="71">
        <f t="shared" ref="J95:J103" si="23">H95*E95</f>
        <v>0</v>
      </c>
      <c r="K95" s="71">
        <v>0</v>
      </c>
      <c r="L95" s="71">
        <f t="shared" ref="L95:L103" si="24">H95*J95</f>
        <v>0</v>
      </c>
      <c r="M95" s="71">
        <f t="shared" ref="M95:M103" si="25">K95+L95</f>
        <v>0</v>
      </c>
      <c r="N95" s="77">
        <f t="shared" ref="N95:N111" si="26">M95/43106674.89</f>
        <v>0</v>
      </c>
      <c r="O95" s="17"/>
    </row>
    <row r="96" spans="1:15" x14ac:dyDescent="0.55000000000000004">
      <c r="A96" s="9"/>
      <c r="B96" s="10" t="s">
        <v>77</v>
      </c>
      <c r="C96" s="4" t="s">
        <v>76</v>
      </c>
      <c r="D96" s="5">
        <v>26</v>
      </c>
      <c r="E96" s="6">
        <v>441.82999999999993</v>
      </c>
      <c r="F96" s="16">
        <f t="shared" si="22"/>
        <v>11487.579999999998</v>
      </c>
      <c r="G96" s="44">
        <v>2.6649190709592202E-4</v>
      </c>
      <c r="H96" s="57"/>
      <c r="I96" s="4" t="s">
        <v>76</v>
      </c>
      <c r="J96" s="71">
        <f t="shared" si="23"/>
        <v>0</v>
      </c>
      <c r="K96" s="71">
        <v>0</v>
      </c>
      <c r="L96" s="71">
        <f t="shared" si="24"/>
        <v>0</v>
      </c>
      <c r="M96" s="71">
        <f t="shared" si="25"/>
        <v>0</v>
      </c>
      <c r="N96" s="77">
        <f t="shared" si="26"/>
        <v>0</v>
      </c>
      <c r="O96" s="17"/>
    </row>
    <row r="97" spans="1:15" x14ac:dyDescent="0.55000000000000004">
      <c r="A97" s="9"/>
      <c r="B97" s="10" t="s">
        <v>78</v>
      </c>
      <c r="C97" s="4" t="s">
        <v>76</v>
      </c>
      <c r="D97" s="5">
        <v>27</v>
      </c>
      <c r="E97" s="6">
        <v>516.15</v>
      </c>
      <c r="F97" s="16">
        <f t="shared" si="22"/>
        <v>13936.05</v>
      </c>
      <c r="G97" s="44">
        <v>3.2329215917400572E-4</v>
      </c>
      <c r="H97" s="57"/>
      <c r="I97" s="4" t="s">
        <v>76</v>
      </c>
      <c r="J97" s="71">
        <f t="shared" si="23"/>
        <v>0</v>
      </c>
      <c r="K97" s="71">
        <v>0</v>
      </c>
      <c r="L97" s="71">
        <f t="shared" si="24"/>
        <v>0</v>
      </c>
      <c r="M97" s="71">
        <f t="shared" si="25"/>
        <v>0</v>
      </c>
      <c r="N97" s="77">
        <f t="shared" si="26"/>
        <v>0</v>
      </c>
      <c r="O97" s="17"/>
    </row>
    <row r="98" spans="1:15" x14ac:dyDescent="0.55000000000000004">
      <c r="A98" s="9"/>
      <c r="B98" s="10" t="s">
        <v>79</v>
      </c>
      <c r="C98" s="4" t="s">
        <v>76</v>
      </c>
      <c r="D98" s="5">
        <v>18</v>
      </c>
      <c r="E98" s="6">
        <v>629.71</v>
      </c>
      <c r="F98" s="16">
        <f t="shared" si="22"/>
        <v>11334.78</v>
      </c>
      <c r="G98" s="44">
        <v>2.6294721244271774E-4</v>
      </c>
      <c r="H98" s="57"/>
      <c r="I98" s="4" t="s">
        <v>76</v>
      </c>
      <c r="J98" s="71">
        <f t="shared" si="23"/>
        <v>0</v>
      </c>
      <c r="K98" s="71">
        <v>0</v>
      </c>
      <c r="L98" s="71">
        <f t="shared" si="24"/>
        <v>0</v>
      </c>
      <c r="M98" s="71">
        <f t="shared" si="25"/>
        <v>0</v>
      </c>
      <c r="N98" s="77">
        <f t="shared" si="26"/>
        <v>0</v>
      </c>
      <c r="O98" s="17"/>
    </row>
    <row r="99" spans="1:15" x14ac:dyDescent="0.55000000000000004">
      <c r="A99" s="9"/>
      <c r="B99" s="10" t="s">
        <v>80</v>
      </c>
      <c r="C99" s="4" t="s">
        <v>76</v>
      </c>
      <c r="D99" s="5">
        <v>17</v>
      </c>
      <c r="E99" s="6">
        <v>708.16</v>
      </c>
      <c r="F99" s="16">
        <f t="shared" si="22"/>
        <v>12038.72</v>
      </c>
      <c r="G99" s="44">
        <v>2.7927739800670103E-4</v>
      </c>
      <c r="H99" s="57"/>
      <c r="I99" s="4" t="s">
        <v>76</v>
      </c>
      <c r="J99" s="71">
        <f t="shared" si="23"/>
        <v>0</v>
      </c>
      <c r="K99" s="71">
        <v>0</v>
      </c>
      <c r="L99" s="71">
        <f t="shared" si="24"/>
        <v>0</v>
      </c>
      <c r="M99" s="71">
        <f t="shared" si="25"/>
        <v>0</v>
      </c>
      <c r="N99" s="77">
        <f t="shared" si="26"/>
        <v>0</v>
      </c>
      <c r="O99" s="17"/>
    </row>
    <row r="100" spans="1:15" x14ac:dyDescent="0.55000000000000004">
      <c r="A100" s="9"/>
      <c r="B100" s="10" t="s">
        <v>81</v>
      </c>
      <c r="C100" s="4" t="s">
        <v>76</v>
      </c>
      <c r="D100" s="5">
        <v>4</v>
      </c>
      <c r="E100" s="6">
        <v>784.55</v>
      </c>
      <c r="F100" s="16">
        <f t="shared" si="22"/>
        <v>3138.2</v>
      </c>
      <c r="G100" s="44">
        <v>7.280079031862434E-5</v>
      </c>
      <c r="H100" s="57"/>
      <c r="I100" s="4" t="s">
        <v>76</v>
      </c>
      <c r="J100" s="71">
        <f t="shared" si="23"/>
        <v>0</v>
      </c>
      <c r="K100" s="71">
        <v>0</v>
      </c>
      <c r="L100" s="71">
        <f t="shared" si="24"/>
        <v>0</v>
      </c>
      <c r="M100" s="71">
        <f t="shared" si="25"/>
        <v>0</v>
      </c>
      <c r="N100" s="77">
        <f t="shared" si="26"/>
        <v>0</v>
      </c>
      <c r="O100" s="17"/>
    </row>
    <row r="101" spans="1:15" x14ac:dyDescent="0.55000000000000004">
      <c r="A101" s="9"/>
      <c r="B101" s="10" t="s">
        <v>82</v>
      </c>
      <c r="C101" s="4" t="s">
        <v>76</v>
      </c>
      <c r="D101" s="5">
        <v>15</v>
      </c>
      <c r="E101" s="6">
        <v>846.49</v>
      </c>
      <c r="F101" s="16">
        <f t="shared" si="22"/>
        <v>12697.35</v>
      </c>
      <c r="G101" s="44">
        <v>2.9455647025434476E-4</v>
      </c>
      <c r="H101" s="57"/>
      <c r="I101" s="4" t="s">
        <v>76</v>
      </c>
      <c r="J101" s="71">
        <f t="shared" si="23"/>
        <v>0</v>
      </c>
      <c r="K101" s="71">
        <v>0</v>
      </c>
      <c r="L101" s="71">
        <f t="shared" si="24"/>
        <v>0</v>
      </c>
      <c r="M101" s="71">
        <f t="shared" si="25"/>
        <v>0</v>
      </c>
      <c r="N101" s="77">
        <f t="shared" si="26"/>
        <v>0</v>
      </c>
      <c r="O101" s="17"/>
    </row>
    <row r="102" spans="1:15" x14ac:dyDescent="0.55000000000000004">
      <c r="A102" s="9"/>
      <c r="B102" s="10" t="s">
        <v>83</v>
      </c>
      <c r="C102" s="4" t="s">
        <v>76</v>
      </c>
      <c r="D102" s="5">
        <v>10</v>
      </c>
      <c r="E102" s="6">
        <v>896.03</v>
      </c>
      <c r="F102" s="16">
        <f t="shared" si="22"/>
        <v>8960.2999999999993</v>
      </c>
      <c r="G102" s="44">
        <v>2.0786339987635257E-4</v>
      </c>
      <c r="H102" s="57"/>
      <c r="I102" s="4" t="s">
        <v>76</v>
      </c>
      <c r="J102" s="71">
        <f t="shared" si="23"/>
        <v>0</v>
      </c>
      <c r="K102" s="71">
        <v>0</v>
      </c>
      <c r="L102" s="71">
        <f t="shared" si="24"/>
        <v>0</v>
      </c>
      <c r="M102" s="71">
        <f t="shared" si="25"/>
        <v>0</v>
      </c>
      <c r="N102" s="77">
        <f t="shared" si="26"/>
        <v>0</v>
      </c>
      <c r="O102" s="17"/>
    </row>
    <row r="103" spans="1:15" x14ac:dyDescent="0.55000000000000004">
      <c r="A103" s="9"/>
      <c r="B103" s="10" t="s">
        <v>84</v>
      </c>
      <c r="C103" s="4" t="s">
        <v>76</v>
      </c>
      <c r="D103" s="5">
        <v>8</v>
      </c>
      <c r="E103" s="6">
        <v>896.03</v>
      </c>
      <c r="F103" s="16">
        <f t="shared" si="22"/>
        <v>7168.24</v>
      </c>
      <c r="G103" s="44">
        <v>1.6629071990108206E-4</v>
      </c>
      <c r="H103" s="57"/>
      <c r="I103" s="4" t="s">
        <v>76</v>
      </c>
      <c r="J103" s="71">
        <f t="shared" si="23"/>
        <v>0</v>
      </c>
      <c r="K103" s="71">
        <v>0</v>
      </c>
      <c r="L103" s="71">
        <f t="shared" si="24"/>
        <v>0</v>
      </c>
      <c r="M103" s="71">
        <f t="shared" si="25"/>
        <v>0</v>
      </c>
      <c r="N103" s="77">
        <f t="shared" si="26"/>
        <v>0</v>
      </c>
      <c r="O103" s="17"/>
    </row>
    <row r="104" spans="1:15" x14ac:dyDescent="0.55000000000000004">
      <c r="A104" s="9"/>
      <c r="B104" s="10"/>
      <c r="C104" s="4"/>
      <c r="D104" s="5"/>
      <c r="E104" s="6"/>
      <c r="F104" s="16"/>
      <c r="G104" s="44"/>
      <c r="H104" s="57"/>
      <c r="I104" s="4"/>
      <c r="J104" s="71"/>
      <c r="K104" s="14"/>
      <c r="L104" s="71"/>
      <c r="M104" s="71"/>
      <c r="N104" s="77"/>
      <c r="O104" s="17"/>
    </row>
    <row r="105" spans="1:15" x14ac:dyDescent="0.55000000000000004">
      <c r="A105" s="9"/>
      <c r="B105" s="10" t="s">
        <v>86</v>
      </c>
      <c r="C105" s="4" t="s">
        <v>5</v>
      </c>
      <c r="D105" s="5">
        <v>1</v>
      </c>
      <c r="E105" s="6">
        <v>57975.92</v>
      </c>
      <c r="F105" s="16">
        <f t="shared" si="22"/>
        <v>57975.92</v>
      </c>
      <c r="G105" s="44">
        <v>1.3449406651740931E-3</v>
      </c>
      <c r="H105" s="57">
        <v>1</v>
      </c>
      <c r="I105" s="4" t="s">
        <v>5</v>
      </c>
      <c r="J105" s="71"/>
      <c r="K105" s="71">
        <v>0</v>
      </c>
      <c r="L105" s="71">
        <f t="shared" ref="L105" si="27">H105*J105</f>
        <v>0</v>
      </c>
      <c r="M105" s="71">
        <f t="shared" ref="M105" si="28">K105+L105</f>
        <v>0</v>
      </c>
      <c r="N105" s="77">
        <f t="shared" si="26"/>
        <v>0</v>
      </c>
      <c r="O105" s="17"/>
    </row>
    <row r="106" spans="1:15" x14ac:dyDescent="0.55000000000000004">
      <c r="A106" s="9"/>
      <c r="B106" s="10"/>
      <c r="C106" s="4"/>
      <c r="D106" s="5"/>
      <c r="E106" s="6"/>
      <c r="F106" s="16"/>
      <c r="G106" s="44"/>
      <c r="H106" s="57"/>
      <c r="I106" s="4"/>
      <c r="J106" s="71"/>
      <c r="K106" s="14"/>
      <c r="L106" s="71"/>
      <c r="M106" s="71"/>
      <c r="N106" s="77"/>
      <c r="O106" s="17"/>
    </row>
    <row r="107" spans="1:15" x14ac:dyDescent="0.55000000000000004">
      <c r="A107" s="9"/>
      <c r="B107" s="10" t="s">
        <v>87</v>
      </c>
      <c r="C107" s="4" t="s">
        <v>88</v>
      </c>
      <c r="D107" s="5">
        <v>22</v>
      </c>
      <c r="E107" s="6">
        <v>3207.4800000000005</v>
      </c>
      <c r="F107" s="16">
        <f t="shared" si="22"/>
        <v>70564.560000000012</v>
      </c>
      <c r="G107" s="44">
        <v>1.6369752522101802E-3</v>
      </c>
      <c r="H107" s="57"/>
      <c r="I107" s="4" t="s">
        <v>88</v>
      </c>
      <c r="J107" s="71">
        <f>H107*E107</f>
        <v>0</v>
      </c>
      <c r="K107" s="71">
        <v>0</v>
      </c>
      <c r="L107" s="71">
        <f t="shared" ref="L107" si="29">H107*J107</f>
        <v>0</v>
      </c>
      <c r="M107" s="71">
        <f t="shared" ref="M107" si="30">K107+L107</f>
        <v>0</v>
      </c>
      <c r="N107" s="77">
        <f t="shared" si="26"/>
        <v>0</v>
      </c>
      <c r="O107" s="17"/>
    </row>
    <row r="108" spans="1:15" x14ac:dyDescent="0.55000000000000004">
      <c r="A108" s="9"/>
      <c r="B108" s="10"/>
      <c r="C108" s="4"/>
      <c r="D108" s="5"/>
      <c r="E108" s="6"/>
      <c r="F108" s="16"/>
      <c r="G108" s="44"/>
      <c r="H108" s="57"/>
      <c r="I108" s="4"/>
      <c r="J108" s="71"/>
      <c r="K108" s="14"/>
      <c r="L108" s="71"/>
      <c r="M108" s="71"/>
      <c r="N108" s="77"/>
      <c r="O108" s="17"/>
    </row>
    <row r="109" spans="1:15" x14ac:dyDescent="0.55000000000000004">
      <c r="A109" s="9"/>
      <c r="B109" s="10" t="s">
        <v>89</v>
      </c>
      <c r="C109" s="4" t="s">
        <v>5</v>
      </c>
      <c r="D109" s="5">
        <v>1</v>
      </c>
      <c r="E109" s="6">
        <v>22281.85</v>
      </c>
      <c r="F109" s="16">
        <f t="shared" si="22"/>
        <v>22281.85</v>
      </c>
      <c r="G109" s="44">
        <v>5.1690022616819825E-4</v>
      </c>
      <c r="H109" s="57">
        <v>1</v>
      </c>
      <c r="I109" s="4" t="s">
        <v>5</v>
      </c>
      <c r="J109" s="71"/>
      <c r="K109" s="71">
        <v>0</v>
      </c>
      <c r="L109" s="71">
        <f t="shared" ref="L109" si="31">H109*J109</f>
        <v>0</v>
      </c>
      <c r="M109" s="71">
        <f t="shared" ref="M109" si="32">K109+L109</f>
        <v>0</v>
      </c>
      <c r="N109" s="77">
        <f t="shared" si="26"/>
        <v>0</v>
      </c>
      <c r="O109" s="17"/>
    </row>
    <row r="110" spans="1:15" x14ac:dyDescent="0.55000000000000004">
      <c r="A110" s="9"/>
      <c r="B110" s="10"/>
      <c r="C110" s="4"/>
      <c r="D110" s="5"/>
      <c r="E110" s="6"/>
      <c r="F110" s="16"/>
      <c r="G110" s="44"/>
      <c r="H110" s="57"/>
      <c r="I110" s="4"/>
      <c r="J110" s="71"/>
      <c r="K110" s="14"/>
      <c r="L110" s="71"/>
      <c r="M110" s="71"/>
      <c r="N110" s="77"/>
      <c r="O110" s="17"/>
    </row>
    <row r="111" spans="1:15" x14ac:dyDescent="0.55000000000000004">
      <c r="A111" s="9"/>
      <c r="B111" s="10" t="s">
        <v>90</v>
      </c>
      <c r="C111" s="4" t="s">
        <v>91</v>
      </c>
      <c r="D111" s="5">
        <v>3</v>
      </c>
      <c r="E111" s="6">
        <v>9622.41</v>
      </c>
      <c r="F111" s="16">
        <f t="shared" si="22"/>
        <v>28867.23</v>
      </c>
      <c r="G111" s="44">
        <v>6.696696062422733E-4</v>
      </c>
      <c r="H111" s="57"/>
      <c r="I111" s="4" t="s">
        <v>91</v>
      </c>
      <c r="J111" s="71"/>
      <c r="K111" s="71">
        <v>0</v>
      </c>
      <c r="L111" s="71">
        <f t="shared" ref="L111" si="33">H111*J111</f>
        <v>0</v>
      </c>
      <c r="M111" s="71">
        <f t="shared" ref="M111" si="34">K111+L111</f>
        <v>0</v>
      </c>
      <c r="N111" s="77">
        <f t="shared" si="26"/>
        <v>0</v>
      </c>
      <c r="O111" s="17"/>
    </row>
    <row r="112" spans="1:15" x14ac:dyDescent="0.55000000000000004">
      <c r="A112" s="9"/>
      <c r="B112" s="10"/>
      <c r="C112" s="4"/>
      <c r="D112" s="5"/>
      <c r="E112" s="6"/>
      <c r="F112" s="16"/>
      <c r="G112" s="44"/>
      <c r="H112" s="57"/>
      <c r="I112" s="4"/>
      <c r="J112" s="71"/>
      <c r="K112" s="14"/>
      <c r="L112" s="71"/>
      <c r="M112" s="71"/>
      <c r="N112" s="77"/>
      <c r="O112" s="17"/>
    </row>
    <row r="113" spans="1:15" x14ac:dyDescent="0.55000000000000004">
      <c r="A113" s="9"/>
      <c r="B113" s="10" t="s">
        <v>92</v>
      </c>
      <c r="C113" s="4"/>
      <c r="D113" s="5"/>
      <c r="E113" s="6"/>
      <c r="F113" s="16"/>
      <c r="G113" s="44"/>
      <c r="H113" s="57"/>
      <c r="I113" s="4"/>
      <c r="J113" s="71"/>
      <c r="K113" s="14"/>
      <c r="L113" s="71"/>
      <c r="M113" s="71"/>
      <c r="N113" s="77"/>
      <c r="O113" s="17"/>
    </row>
    <row r="114" spans="1:15" x14ac:dyDescent="0.55000000000000004">
      <c r="A114" s="9"/>
      <c r="B114" s="10" t="s">
        <v>93</v>
      </c>
      <c r="C114" s="4" t="s">
        <v>76</v>
      </c>
      <c r="D114" s="5">
        <v>39</v>
      </c>
      <c r="E114" s="6">
        <v>404.15</v>
      </c>
      <c r="F114" s="16">
        <f t="shared" si="22"/>
        <v>15761.849999999999</v>
      </c>
      <c r="G114" s="44">
        <v>3.6564754855764736E-4</v>
      </c>
      <c r="H114" s="57"/>
      <c r="I114" s="4" t="s">
        <v>76</v>
      </c>
      <c r="J114" s="71">
        <f t="shared" ref="J114:J115" si="35">H114*E114</f>
        <v>0</v>
      </c>
      <c r="K114" s="71">
        <v>0</v>
      </c>
      <c r="L114" s="71">
        <f t="shared" ref="L114:L115" si="36">H114*J114</f>
        <v>0</v>
      </c>
      <c r="M114" s="71">
        <f t="shared" ref="M114:M115" si="37">K114+L114</f>
        <v>0</v>
      </c>
      <c r="N114" s="77">
        <f t="shared" ref="N114:N115" si="38">M114/43106674.89</f>
        <v>0</v>
      </c>
      <c r="O114" s="17"/>
    </row>
    <row r="115" spans="1:15" x14ac:dyDescent="0.55000000000000004">
      <c r="A115" s="9"/>
      <c r="B115" s="10" t="s">
        <v>94</v>
      </c>
      <c r="C115" s="4" t="s">
        <v>76</v>
      </c>
      <c r="D115" s="5">
        <v>22</v>
      </c>
      <c r="E115" s="6">
        <v>641.82999999999993</v>
      </c>
      <c r="F115" s="16">
        <f t="shared" si="22"/>
        <v>14120.259999999998</v>
      </c>
      <c r="G115" s="44">
        <v>3.2756551128177249E-4</v>
      </c>
      <c r="H115" s="57"/>
      <c r="I115" s="4" t="s">
        <v>76</v>
      </c>
      <c r="J115" s="71">
        <f t="shared" si="35"/>
        <v>0</v>
      </c>
      <c r="K115" s="71">
        <v>0</v>
      </c>
      <c r="L115" s="71">
        <f t="shared" si="36"/>
        <v>0</v>
      </c>
      <c r="M115" s="71">
        <f t="shared" si="37"/>
        <v>0</v>
      </c>
      <c r="N115" s="77">
        <f t="shared" si="38"/>
        <v>0</v>
      </c>
      <c r="O115" s="17"/>
    </row>
    <row r="116" spans="1:15" x14ac:dyDescent="0.55000000000000004">
      <c r="A116" s="9"/>
      <c r="B116" s="10"/>
      <c r="C116" s="4"/>
      <c r="D116" s="5"/>
      <c r="E116" s="6"/>
      <c r="F116" s="16"/>
      <c r="G116" s="44"/>
      <c r="H116" s="57"/>
      <c r="I116" s="4"/>
      <c r="J116" s="71"/>
      <c r="K116" s="14"/>
      <c r="L116" s="71"/>
      <c r="M116" s="71"/>
      <c r="N116" s="77"/>
      <c r="O116" s="17"/>
    </row>
    <row r="117" spans="1:15" x14ac:dyDescent="0.55000000000000004">
      <c r="A117" s="9"/>
      <c r="B117" s="10" t="s">
        <v>95</v>
      </c>
      <c r="C117" s="4"/>
      <c r="D117" s="5"/>
      <c r="E117" s="6"/>
      <c r="F117" s="16"/>
      <c r="G117" s="44"/>
      <c r="H117" s="57"/>
      <c r="I117" s="4"/>
      <c r="J117" s="71"/>
      <c r="K117" s="14"/>
      <c r="L117" s="71"/>
      <c r="M117" s="71"/>
      <c r="N117" s="77"/>
      <c r="O117" s="17"/>
    </row>
    <row r="118" spans="1:15" x14ac:dyDescent="0.55000000000000004">
      <c r="A118" s="9"/>
      <c r="B118" s="10" t="s">
        <v>96</v>
      </c>
      <c r="C118" s="4" t="s">
        <v>76</v>
      </c>
      <c r="D118" s="5">
        <v>77</v>
      </c>
      <c r="E118" s="6">
        <v>427.66999999999996</v>
      </c>
      <c r="F118" s="16">
        <f t="shared" si="22"/>
        <v>32930.589999999997</v>
      </c>
      <c r="G118" s="44">
        <v>7.6393250196245851E-4</v>
      </c>
      <c r="H118" s="57"/>
      <c r="I118" s="4" t="s">
        <v>76</v>
      </c>
      <c r="J118" s="71">
        <f t="shared" ref="J118:J119" si="39">H118*E118</f>
        <v>0</v>
      </c>
      <c r="K118" s="71">
        <v>0</v>
      </c>
      <c r="L118" s="71">
        <f t="shared" ref="L118:L119" si="40">H118*J118</f>
        <v>0</v>
      </c>
      <c r="M118" s="71">
        <f t="shared" ref="M118:M119" si="41">K118+L118</f>
        <v>0</v>
      </c>
      <c r="N118" s="77">
        <f t="shared" ref="N118:N119" si="42">M118/43106674.89</f>
        <v>0</v>
      </c>
      <c r="O118" s="17"/>
    </row>
    <row r="119" spans="1:15" x14ac:dyDescent="0.55000000000000004">
      <c r="A119" s="9"/>
      <c r="B119" s="10" t="s">
        <v>97</v>
      </c>
      <c r="C119" s="4" t="s">
        <v>76</v>
      </c>
      <c r="D119" s="5">
        <v>43</v>
      </c>
      <c r="E119" s="6">
        <v>812.56999999999982</v>
      </c>
      <c r="F119" s="16">
        <f t="shared" si="22"/>
        <v>34940.509999999995</v>
      </c>
      <c r="G119" s="44">
        <v>8.1055915561015755E-4</v>
      </c>
      <c r="H119" s="57"/>
      <c r="I119" s="4" t="s">
        <v>76</v>
      </c>
      <c r="J119" s="71">
        <f t="shared" si="39"/>
        <v>0</v>
      </c>
      <c r="K119" s="71">
        <v>0</v>
      </c>
      <c r="L119" s="71">
        <f t="shared" si="40"/>
        <v>0</v>
      </c>
      <c r="M119" s="71">
        <f t="shared" si="41"/>
        <v>0</v>
      </c>
      <c r="N119" s="77">
        <f t="shared" si="42"/>
        <v>0</v>
      </c>
      <c r="O119" s="17"/>
    </row>
    <row r="120" spans="1:15" x14ac:dyDescent="0.55000000000000004">
      <c r="A120" s="9"/>
      <c r="B120" s="10"/>
      <c r="C120" s="4"/>
      <c r="D120" s="5"/>
      <c r="E120" s="6"/>
      <c r="F120" s="16"/>
      <c r="G120" s="44"/>
      <c r="H120" s="57"/>
      <c r="I120" s="4"/>
      <c r="J120" s="71"/>
      <c r="K120" s="14"/>
      <c r="L120" s="71"/>
      <c r="M120" s="71"/>
      <c r="N120" s="77"/>
      <c r="O120" s="17"/>
    </row>
    <row r="121" spans="1:15" x14ac:dyDescent="0.55000000000000004">
      <c r="A121" s="9"/>
      <c r="B121" s="10" t="s">
        <v>98</v>
      </c>
      <c r="C121" s="4"/>
      <c r="D121" s="5"/>
      <c r="E121" s="6"/>
      <c r="F121" s="16"/>
      <c r="G121" s="44"/>
      <c r="H121" s="57"/>
      <c r="I121" s="4"/>
      <c r="J121" s="71"/>
      <c r="K121" s="14"/>
      <c r="L121" s="71"/>
      <c r="M121" s="71"/>
      <c r="N121" s="77"/>
      <c r="O121" s="17"/>
    </row>
    <row r="122" spans="1:15" x14ac:dyDescent="0.55000000000000004">
      <c r="A122" s="9"/>
      <c r="B122" s="10" t="s">
        <v>99</v>
      </c>
      <c r="C122" s="4" t="s">
        <v>91</v>
      </c>
      <c r="D122" s="5">
        <v>9</v>
      </c>
      <c r="E122" s="6">
        <v>30473.16</v>
      </c>
      <c r="F122" s="16">
        <f t="shared" si="22"/>
        <v>274258.44</v>
      </c>
      <c r="G122" s="44">
        <v>6.3623195409957985E-3</v>
      </c>
      <c r="H122" s="57"/>
      <c r="I122" s="4" t="s">
        <v>91</v>
      </c>
      <c r="J122" s="71"/>
      <c r="K122" s="71">
        <v>0</v>
      </c>
      <c r="L122" s="71">
        <f t="shared" ref="L122" si="43">H122*J122</f>
        <v>0</v>
      </c>
      <c r="M122" s="71">
        <f t="shared" ref="M122" si="44">K122+L122</f>
        <v>0</v>
      </c>
      <c r="N122" s="77">
        <f t="shared" ref="N122" si="45">M122/43106674.89</f>
        <v>0</v>
      </c>
      <c r="O122" s="17"/>
    </row>
    <row r="123" spans="1:15" x14ac:dyDescent="0.55000000000000004">
      <c r="A123" s="9"/>
      <c r="B123" s="10"/>
      <c r="C123" s="4"/>
      <c r="D123" s="5"/>
      <c r="E123" s="6"/>
      <c r="F123" s="16"/>
      <c r="G123" s="44"/>
      <c r="H123" s="57"/>
      <c r="I123" s="4"/>
      <c r="J123" s="71">
        <f>H123*E123</f>
        <v>0</v>
      </c>
      <c r="K123" s="14"/>
      <c r="L123" s="71"/>
      <c r="M123" s="71"/>
      <c r="N123" s="77"/>
      <c r="O123" s="17"/>
    </row>
    <row r="124" spans="1:15" x14ac:dyDescent="0.55000000000000004">
      <c r="A124" s="9"/>
      <c r="B124" s="10" t="s">
        <v>100</v>
      </c>
      <c r="C124" s="4"/>
      <c r="D124" s="5"/>
      <c r="E124" s="6"/>
      <c r="F124" s="16"/>
      <c r="G124" s="44"/>
      <c r="H124" s="57"/>
      <c r="I124" s="4"/>
      <c r="J124" s="71"/>
      <c r="K124" s="14"/>
      <c r="L124" s="71"/>
      <c r="M124" s="71"/>
      <c r="N124" s="77"/>
      <c r="O124" s="17"/>
    </row>
    <row r="125" spans="1:15" x14ac:dyDescent="0.55000000000000004">
      <c r="A125" s="9"/>
      <c r="B125" s="10" t="s">
        <v>101</v>
      </c>
      <c r="C125" s="4" t="s">
        <v>91</v>
      </c>
      <c r="D125" s="5">
        <v>11</v>
      </c>
      <c r="E125" s="6">
        <v>192.45999999999995</v>
      </c>
      <c r="F125" s="16">
        <f t="shared" si="22"/>
        <v>2117.0599999999995</v>
      </c>
      <c r="G125" s="44">
        <v>4.9112115592360845E-5</v>
      </c>
      <c r="H125" s="57"/>
      <c r="I125" s="4" t="s">
        <v>91</v>
      </c>
      <c r="J125" s="71">
        <f t="shared" ref="J125:J129" si="46">H125*E125</f>
        <v>0</v>
      </c>
      <c r="K125" s="71">
        <v>0</v>
      </c>
      <c r="L125" s="71">
        <f t="shared" ref="L125:L129" si="47">H125*J125</f>
        <v>0</v>
      </c>
      <c r="M125" s="71">
        <f t="shared" ref="M125:M129" si="48">K125+L125</f>
        <v>0</v>
      </c>
      <c r="N125" s="77">
        <f t="shared" ref="N125:N129" si="49">M125/43106674.89</f>
        <v>0</v>
      </c>
      <c r="O125" s="17"/>
    </row>
    <row r="126" spans="1:15" x14ac:dyDescent="0.55000000000000004">
      <c r="A126" s="9"/>
      <c r="B126" s="10" t="s">
        <v>102</v>
      </c>
      <c r="C126" s="4" t="s">
        <v>91</v>
      </c>
      <c r="D126" s="5">
        <v>2</v>
      </c>
      <c r="E126" s="6">
        <v>53.47</v>
      </c>
      <c r="F126" s="16">
        <f t="shared" si="22"/>
        <v>106.94</v>
      </c>
      <c r="G126" s="44">
        <v>2.4808222919742803E-6</v>
      </c>
      <c r="H126" s="57"/>
      <c r="I126" s="4" t="s">
        <v>91</v>
      </c>
      <c r="J126" s="71">
        <f t="shared" si="46"/>
        <v>0</v>
      </c>
      <c r="K126" s="71">
        <v>0</v>
      </c>
      <c r="L126" s="71">
        <f t="shared" si="47"/>
        <v>0</v>
      </c>
      <c r="M126" s="71">
        <f t="shared" si="48"/>
        <v>0</v>
      </c>
      <c r="N126" s="77">
        <f t="shared" si="49"/>
        <v>0</v>
      </c>
      <c r="O126" s="17"/>
    </row>
    <row r="127" spans="1:15" x14ac:dyDescent="0.55000000000000004">
      <c r="A127" s="9"/>
      <c r="B127" s="10" t="s">
        <v>103</v>
      </c>
      <c r="C127" s="4" t="s">
        <v>91</v>
      </c>
      <c r="D127" s="5">
        <v>2</v>
      </c>
      <c r="E127" s="6">
        <v>203.14999999999998</v>
      </c>
      <c r="F127" s="16">
        <f t="shared" si="22"/>
        <v>406.29999999999995</v>
      </c>
      <c r="G127" s="44">
        <v>9.4254544345347856E-6</v>
      </c>
      <c r="H127" s="57"/>
      <c r="I127" s="4" t="s">
        <v>91</v>
      </c>
      <c r="J127" s="71">
        <f t="shared" si="46"/>
        <v>0</v>
      </c>
      <c r="K127" s="71">
        <v>0</v>
      </c>
      <c r="L127" s="71">
        <f t="shared" si="47"/>
        <v>0</v>
      </c>
      <c r="M127" s="71">
        <f t="shared" si="48"/>
        <v>0</v>
      </c>
      <c r="N127" s="77">
        <f t="shared" si="49"/>
        <v>0</v>
      </c>
      <c r="O127" s="17"/>
    </row>
    <row r="128" spans="1:15" x14ac:dyDescent="0.55000000000000004">
      <c r="A128" s="9"/>
      <c r="B128" s="10" t="s">
        <v>104</v>
      </c>
      <c r="C128" s="4" t="s">
        <v>91</v>
      </c>
      <c r="D128" s="5">
        <v>6</v>
      </c>
      <c r="E128" s="6">
        <v>43.629999999999995</v>
      </c>
      <c r="F128" s="16">
        <f t="shared" si="22"/>
        <v>261.77999999999997</v>
      </c>
      <c r="G128" s="44">
        <v>6.0728414025904901E-6</v>
      </c>
      <c r="H128" s="57"/>
      <c r="I128" s="4" t="s">
        <v>91</v>
      </c>
      <c r="J128" s="71">
        <f t="shared" si="46"/>
        <v>0</v>
      </c>
      <c r="K128" s="71">
        <v>0</v>
      </c>
      <c r="L128" s="71">
        <f t="shared" si="47"/>
        <v>0</v>
      </c>
      <c r="M128" s="71">
        <f t="shared" si="48"/>
        <v>0</v>
      </c>
      <c r="N128" s="77">
        <f t="shared" si="49"/>
        <v>0</v>
      </c>
      <c r="O128" s="17"/>
    </row>
    <row r="129" spans="1:15" x14ac:dyDescent="0.55000000000000004">
      <c r="A129" s="9"/>
      <c r="B129" s="10" t="s">
        <v>105</v>
      </c>
      <c r="C129" s="4" t="s">
        <v>91</v>
      </c>
      <c r="D129" s="5">
        <v>4</v>
      </c>
      <c r="E129" s="6">
        <v>213.84</v>
      </c>
      <c r="F129" s="16">
        <f t="shared" si="22"/>
        <v>855.36</v>
      </c>
      <c r="G129" s="44">
        <v>1.9842866613644291E-5</v>
      </c>
      <c r="H129" s="57"/>
      <c r="I129" s="4" t="s">
        <v>91</v>
      </c>
      <c r="J129" s="71">
        <f t="shared" si="46"/>
        <v>0</v>
      </c>
      <c r="K129" s="71">
        <v>0</v>
      </c>
      <c r="L129" s="71">
        <f t="shared" si="47"/>
        <v>0</v>
      </c>
      <c r="M129" s="71">
        <f t="shared" si="48"/>
        <v>0</v>
      </c>
      <c r="N129" s="77">
        <f t="shared" si="49"/>
        <v>0</v>
      </c>
      <c r="O129" s="17"/>
    </row>
    <row r="130" spans="1:15" x14ac:dyDescent="0.55000000000000004">
      <c r="A130" s="9"/>
      <c r="B130" s="10"/>
      <c r="C130" s="4"/>
      <c r="D130" s="5"/>
      <c r="E130" s="6"/>
      <c r="F130" s="16"/>
      <c r="G130" s="44"/>
      <c r="H130" s="57"/>
      <c r="I130" s="4"/>
      <c r="J130" s="71"/>
      <c r="K130" s="14"/>
      <c r="L130" s="71"/>
      <c r="M130" s="71"/>
      <c r="N130" s="77"/>
      <c r="O130" s="17"/>
    </row>
    <row r="131" spans="1:15" x14ac:dyDescent="0.55000000000000004">
      <c r="A131" s="9"/>
      <c r="B131" s="10" t="s">
        <v>106</v>
      </c>
      <c r="C131" s="4"/>
      <c r="D131" s="5"/>
      <c r="E131" s="6"/>
      <c r="F131" s="16"/>
      <c r="G131" s="44"/>
      <c r="H131" s="57"/>
      <c r="I131" s="4"/>
      <c r="J131" s="71"/>
      <c r="K131" s="14"/>
      <c r="L131" s="71"/>
      <c r="M131" s="71"/>
      <c r="N131" s="77"/>
      <c r="O131" s="17"/>
    </row>
    <row r="132" spans="1:15" x14ac:dyDescent="0.55000000000000004">
      <c r="A132" s="9"/>
      <c r="B132" s="10" t="s">
        <v>107</v>
      </c>
      <c r="C132" s="4"/>
      <c r="D132" s="5"/>
      <c r="E132" s="6"/>
      <c r="F132" s="16"/>
      <c r="G132" s="44"/>
      <c r="H132" s="57"/>
      <c r="I132" s="4"/>
      <c r="J132" s="71"/>
      <c r="K132" s="14"/>
      <c r="L132" s="71"/>
      <c r="M132" s="71"/>
      <c r="N132" s="77"/>
      <c r="O132" s="17"/>
    </row>
    <row r="133" spans="1:15" x14ac:dyDescent="0.55000000000000004">
      <c r="A133" s="9"/>
      <c r="B133" s="10" t="s">
        <v>108</v>
      </c>
      <c r="C133" s="4" t="s">
        <v>109</v>
      </c>
      <c r="D133" s="5">
        <v>78</v>
      </c>
      <c r="E133" s="6">
        <v>404.15</v>
      </c>
      <c r="F133" s="16">
        <f t="shared" si="22"/>
        <v>31523.699999999997</v>
      </c>
      <c r="G133" s="44">
        <v>7.3129509711529473E-4</v>
      </c>
      <c r="H133" s="57"/>
      <c r="I133" s="4" t="s">
        <v>109</v>
      </c>
      <c r="J133" s="71">
        <f t="shared" ref="J133:J135" si="50">H133*E133</f>
        <v>0</v>
      </c>
      <c r="K133" s="71">
        <v>0</v>
      </c>
      <c r="L133" s="71">
        <f t="shared" ref="L133:L135" si="51">H133*J133</f>
        <v>0</v>
      </c>
      <c r="M133" s="71">
        <f t="shared" ref="M133:M135" si="52">K133+L133</f>
        <v>0</v>
      </c>
      <c r="N133" s="77">
        <f t="shared" ref="N133:N135" si="53">M133/43106674.89</f>
        <v>0</v>
      </c>
      <c r="O133" s="17"/>
    </row>
    <row r="134" spans="1:15" x14ac:dyDescent="0.55000000000000004">
      <c r="A134" s="9"/>
      <c r="B134" s="10" t="s">
        <v>110</v>
      </c>
      <c r="C134" s="4" t="s">
        <v>109</v>
      </c>
      <c r="D134" s="5">
        <v>586</v>
      </c>
      <c r="E134" s="6">
        <v>65.87</v>
      </c>
      <c r="F134" s="16">
        <f t="shared" si="22"/>
        <v>38599.82</v>
      </c>
      <c r="G134" s="44">
        <v>8.9544879298854188E-4</v>
      </c>
      <c r="H134" s="57"/>
      <c r="I134" s="4" t="s">
        <v>109</v>
      </c>
      <c r="J134" s="71">
        <f t="shared" si="50"/>
        <v>0</v>
      </c>
      <c r="K134" s="71">
        <v>0</v>
      </c>
      <c r="L134" s="71">
        <f t="shared" si="51"/>
        <v>0</v>
      </c>
      <c r="M134" s="71">
        <f t="shared" si="52"/>
        <v>0</v>
      </c>
      <c r="N134" s="77">
        <f t="shared" si="53"/>
        <v>0</v>
      </c>
      <c r="O134" s="17"/>
    </row>
    <row r="135" spans="1:15" x14ac:dyDescent="0.55000000000000004">
      <c r="A135" s="9"/>
      <c r="B135" s="10" t="s">
        <v>111</v>
      </c>
      <c r="C135" s="4" t="s">
        <v>91</v>
      </c>
      <c r="D135" s="5">
        <v>29</v>
      </c>
      <c r="E135" s="6">
        <v>32.090000000000003</v>
      </c>
      <c r="F135" s="16">
        <f t="shared" si="22"/>
        <v>930.61000000000013</v>
      </c>
      <c r="G135" s="44">
        <v>2.1588535937293673E-5</v>
      </c>
      <c r="H135" s="57"/>
      <c r="I135" s="4" t="s">
        <v>91</v>
      </c>
      <c r="J135" s="71">
        <f t="shared" si="50"/>
        <v>0</v>
      </c>
      <c r="K135" s="71">
        <v>0</v>
      </c>
      <c r="L135" s="71">
        <f t="shared" si="51"/>
        <v>0</v>
      </c>
      <c r="M135" s="71">
        <f t="shared" si="52"/>
        <v>0</v>
      </c>
      <c r="N135" s="77">
        <f t="shared" si="53"/>
        <v>0</v>
      </c>
      <c r="O135" s="17"/>
    </row>
    <row r="136" spans="1:15" x14ac:dyDescent="0.55000000000000004">
      <c r="A136" s="9"/>
      <c r="B136" s="10" t="s">
        <v>112</v>
      </c>
      <c r="C136" s="4"/>
      <c r="D136" s="5"/>
      <c r="E136" s="6"/>
      <c r="F136" s="16"/>
      <c r="G136" s="44"/>
      <c r="H136" s="57"/>
      <c r="I136" s="4"/>
      <c r="J136" s="71"/>
      <c r="K136" s="14"/>
      <c r="L136" s="71"/>
      <c r="M136" s="71"/>
      <c r="N136" s="77"/>
      <c r="O136" s="17"/>
    </row>
    <row r="137" spans="1:15" x14ac:dyDescent="0.55000000000000004">
      <c r="A137" s="9"/>
      <c r="B137" s="10" t="s">
        <v>113</v>
      </c>
      <c r="C137" s="4" t="s">
        <v>109</v>
      </c>
      <c r="D137" s="5">
        <v>419</v>
      </c>
      <c r="E137" s="6">
        <v>80.840000000000018</v>
      </c>
      <c r="F137" s="16">
        <f t="shared" si="22"/>
        <v>33871.960000000006</v>
      </c>
      <c r="G137" s="44">
        <v>7.8577065121433667E-4</v>
      </c>
      <c r="H137" s="57"/>
      <c r="I137" s="4" t="s">
        <v>109</v>
      </c>
      <c r="J137" s="71">
        <f t="shared" ref="J137:J140" si="54">H137*E137</f>
        <v>0</v>
      </c>
      <c r="K137" s="71">
        <v>0</v>
      </c>
      <c r="L137" s="71">
        <f t="shared" ref="L137:L140" si="55">H137*J137</f>
        <v>0</v>
      </c>
      <c r="M137" s="71">
        <f t="shared" ref="M137:M140" si="56">K137+L137</f>
        <v>0</v>
      </c>
      <c r="N137" s="77">
        <f t="shared" ref="N137:N140" si="57">M137/43106674.89</f>
        <v>0</v>
      </c>
      <c r="O137" s="17"/>
    </row>
    <row r="138" spans="1:15" x14ac:dyDescent="0.55000000000000004">
      <c r="A138" s="9"/>
      <c r="B138" s="10" t="s">
        <v>114</v>
      </c>
      <c r="C138" s="4" t="s">
        <v>109</v>
      </c>
      <c r="D138" s="5">
        <v>71</v>
      </c>
      <c r="E138" s="6">
        <v>78.480000000000018</v>
      </c>
      <c r="F138" s="16">
        <f t="shared" si="22"/>
        <v>5572.0800000000017</v>
      </c>
      <c r="G138" s="44">
        <v>1.2926257973315926E-4</v>
      </c>
      <c r="H138" s="57"/>
      <c r="I138" s="4" t="s">
        <v>109</v>
      </c>
      <c r="J138" s="71">
        <f t="shared" si="54"/>
        <v>0</v>
      </c>
      <c r="K138" s="71">
        <v>0</v>
      </c>
      <c r="L138" s="71">
        <f t="shared" si="55"/>
        <v>0</v>
      </c>
      <c r="M138" s="71">
        <f t="shared" si="56"/>
        <v>0</v>
      </c>
      <c r="N138" s="77">
        <f t="shared" si="57"/>
        <v>0</v>
      </c>
      <c r="O138" s="17"/>
    </row>
    <row r="139" spans="1:15" x14ac:dyDescent="0.55000000000000004">
      <c r="A139" s="9"/>
      <c r="B139" s="10" t="s">
        <v>115</v>
      </c>
      <c r="C139" s="4" t="s">
        <v>109</v>
      </c>
      <c r="D139" s="5">
        <v>26</v>
      </c>
      <c r="E139" s="6">
        <v>120.11</v>
      </c>
      <c r="F139" s="16">
        <f t="shared" si="22"/>
        <v>3122.86</v>
      </c>
      <c r="G139" s="44">
        <v>7.2444928957497677E-5</v>
      </c>
      <c r="H139" s="57"/>
      <c r="I139" s="4" t="s">
        <v>109</v>
      </c>
      <c r="J139" s="71">
        <f t="shared" si="54"/>
        <v>0</v>
      </c>
      <c r="K139" s="71">
        <v>0</v>
      </c>
      <c r="L139" s="71">
        <f t="shared" si="55"/>
        <v>0</v>
      </c>
      <c r="M139" s="71">
        <f t="shared" si="56"/>
        <v>0</v>
      </c>
      <c r="N139" s="77">
        <f t="shared" si="57"/>
        <v>0</v>
      </c>
      <c r="O139" s="17"/>
    </row>
    <row r="140" spans="1:15" x14ac:dyDescent="0.55000000000000004">
      <c r="A140" s="9"/>
      <c r="B140" s="10" t="s">
        <v>116</v>
      </c>
      <c r="C140" s="4" t="s">
        <v>109</v>
      </c>
      <c r="D140" s="5">
        <v>59</v>
      </c>
      <c r="E140" s="6">
        <v>790.33</v>
      </c>
      <c r="F140" s="16">
        <f t="shared" si="22"/>
        <v>46629.47</v>
      </c>
      <c r="G140" s="44">
        <v>1.0817227289970633E-3</v>
      </c>
      <c r="H140" s="57"/>
      <c r="I140" s="4" t="s">
        <v>109</v>
      </c>
      <c r="J140" s="71">
        <f t="shared" si="54"/>
        <v>0</v>
      </c>
      <c r="K140" s="71">
        <v>0</v>
      </c>
      <c r="L140" s="71">
        <f t="shared" si="55"/>
        <v>0</v>
      </c>
      <c r="M140" s="71">
        <f t="shared" si="56"/>
        <v>0</v>
      </c>
      <c r="N140" s="77">
        <f t="shared" si="57"/>
        <v>0</v>
      </c>
      <c r="O140" s="17"/>
    </row>
    <row r="141" spans="1:15" x14ac:dyDescent="0.55000000000000004">
      <c r="A141" s="9"/>
      <c r="B141" s="10" t="s">
        <v>117</v>
      </c>
      <c r="C141" s="4"/>
      <c r="D141" s="5"/>
      <c r="E141" s="6"/>
      <c r="F141" s="16"/>
      <c r="G141" s="44"/>
      <c r="H141" s="57"/>
      <c r="I141" s="4"/>
      <c r="J141" s="71"/>
      <c r="K141" s="14"/>
      <c r="L141" s="71"/>
      <c r="M141" s="71"/>
      <c r="N141" s="77"/>
      <c r="O141" s="17"/>
    </row>
    <row r="142" spans="1:15" x14ac:dyDescent="0.55000000000000004">
      <c r="A142" s="9"/>
      <c r="B142" s="10" t="s">
        <v>118</v>
      </c>
      <c r="C142" s="4" t="s">
        <v>109</v>
      </c>
      <c r="D142" s="5">
        <v>72</v>
      </c>
      <c r="E142" s="6">
        <v>78.480000000000018</v>
      </c>
      <c r="F142" s="16">
        <f t="shared" si="22"/>
        <v>5650.5600000000013</v>
      </c>
      <c r="G142" s="44">
        <v>1.3108317944771081E-4</v>
      </c>
      <c r="H142" s="57"/>
      <c r="I142" s="4" t="s">
        <v>109</v>
      </c>
      <c r="J142" s="71">
        <f t="shared" ref="J142:J143" si="58">H142*E142</f>
        <v>0</v>
      </c>
      <c r="K142" s="71">
        <v>0</v>
      </c>
      <c r="L142" s="71">
        <f t="shared" ref="L142:L143" si="59">H142*J142</f>
        <v>0</v>
      </c>
      <c r="M142" s="71">
        <f t="shared" ref="M142:M143" si="60">K142+L142</f>
        <v>0</v>
      </c>
      <c r="N142" s="77">
        <f t="shared" ref="N142:N143" si="61">M142/43106674.89</f>
        <v>0</v>
      </c>
      <c r="O142" s="17"/>
    </row>
    <row r="143" spans="1:15" x14ac:dyDescent="0.55000000000000004">
      <c r="A143" s="9"/>
      <c r="B143" s="10" t="s">
        <v>119</v>
      </c>
      <c r="C143" s="4" t="s">
        <v>109</v>
      </c>
      <c r="D143" s="5">
        <v>20</v>
      </c>
      <c r="E143" s="6">
        <v>187.88</v>
      </c>
      <c r="F143" s="16">
        <f t="shared" si="22"/>
        <v>3757.6</v>
      </c>
      <c r="G143" s="44">
        <v>8.7169794691626664E-5</v>
      </c>
      <c r="H143" s="57"/>
      <c r="I143" s="4" t="s">
        <v>109</v>
      </c>
      <c r="J143" s="71">
        <f t="shared" si="58"/>
        <v>0</v>
      </c>
      <c r="K143" s="71">
        <v>0</v>
      </c>
      <c r="L143" s="71">
        <f t="shared" si="59"/>
        <v>0</v>
      </c>
      <c r="M143" s="71">
        <f t="shared" si="60"/>
        <v>0</v>
      </c>
      <c r="N143" s="77">
        <f t="shared" si="61"/>
        <v>0</v>
      </c>
      <c r="O143" s="17"/>
    </row>
    <row r="144" spans="1:15" x14ac:dyDescent="0.55000000000000004">
      <c r="A144" s="9"/>
      <c r="B144" s="10"/>
      <c r="C144" s="4"/>
      <c r="D144" s="5"/>
      <c r="E144" s="6"/>
      <c r="F144" s="16"/>
      <c r="G144" s="44"/>
      <c r="H144" s="57"/>
      <c r="I144" s="4"/>
      <c r="J144" s="71"/>
      <c r="K144" s="14"/>
      <c r="L144" s="71"/>
      <c r="M144" s="71"/>
      <c r="N144" s="77"/>
      <c r="O144" s="17"/>
    </row>
    <row r="145" spans="1:15" x14ac:dyDescent="0.55000000000000004">
      <c r="A145" s="9" t="s">
        <v>120</v>
      </c>
      <c r="B145" s="10" t="s">
        <v>121</v>
      </c>
      <c r="C145" s="4"/>
      <c r="D145" s="5"/>
      <c r="E145" s="6"/>
      <c r="F145" s="16"/>
      <c r="G145" s="44"/>
      <c r="H145" s="57"/>
      <c r="I145" s="4"/>
      <c r="J145" s="71"/>
      <c r="K145" s="14"/>
      <c r="L145" s="71"/>
      <c r="M145" s="71"/>
      <c r="N145" s="77"/>
      <c r="O145" s="17"/>
    </row>
    <row r="146" spans="1:15" x14ac:dyDescent="0.55000000000000004">
      <c r="A146" s="9"/>
      <c r="B146" s="10" t="s">
        <v>122</v>
      </c>
      <c r="C146" s="4" t="s">
        <v>91</v>
      </c>
      <c r="D146" s="5">
        <v>20</v>
      </c>
      <c r="E146" s="6">
        <v>1389.91</v>
      </c>
      <c r="F146" s="16">
        <f t="shared" si="22"/>
        <v>27798.2</v>
      </c>
      <c r="G146" s="44">
        <v>6.4486996668000228E-4</v>
      </c>
      <c r="H146" s="57"/>
      <c r="I146" s="4" t="s">
        <v>91</v>
      </c>
      <c r="J146" s="71">
        <f t="shared" ref="J146:J159" si="62">H146*E146</f>
        <v>0</v>
      </c>
      <c r="K146" s="71">
        <v>0</v>
      </c>
      <c r="L146" s="71">
        <f t="shared" ref="L146" si="63">H146*J146</f>
        <v>0</v>
      </c>
      <c r="M146" s="71">
        <f t="shared" ref="M146" si="64">K146+L146</f>
        <v>0</v>
      </c>
      <c r="N146" s="77">
        <f t="shared" ref="N146:N165" si="65">M146/43106674.89</f>
        <v>0</v>
      </c>
      <c r="O146" s="17"/>
    </row>
    <row r="147" spans="1:15" x14ac:dyDescent="0.55000000000000004">
      <c r="A147" s="9"/>
      <c r="B147" s="10" t="s">
        <v>123</v>
      </c>
      <c r="C147" s="4" t="s">
        <v>76</v>
      </c>
      <c r="D147" s="5">
        <v>7</v>
      </c>
      <c r="E147" s="6">
        <v>2523.2200000000003</v>
      </c>
      <c r="F147" s="16">
        <f t="shared" si="22"/>
        <v>17662.54</v>
      </c>
      <c r="G147" s="44">
        <v>4.0974025589010106E-4</v>
      </c>
      <c r="H147" s="57"/>
      <c r="I147" s="4" t="s">
        <v>76</v>
      </c>
      <c r="J147" s="71">
        <f t="shared" si="62"/>
        <v>0</v>
      </c>
      <c r="K147" s="71">
        <v>0</v>
      </c>
      <c r="L147" s="71">
        <f t="shared" ref="L147:L159" si="66">H147*J147</f>
        <v>0</v>
      </c>
      <c r="M147" s="71">
        <f t="shared" ref="M147:M159" si="67">K147+L147</f>
        <v>0</v>
      </c>
      <c r="N147" s="77">
        <f t="shared" si="65"/>
        <v>0</v>
      </c>
      <c r="O147" s="17"/>
    </row>
    <row r="148" spans="1:15" x14ac:dyDescent="0.55000000000000004">
      <c r="A148" s="9"/>
      <c r="B148" s="10" t="s">
        <v>124</v>
      </c>
      <c r="C148" s="4" t="s">
        <v>125</v>
      </c>
      <c r="D148" s="5">
        <v>21</v>
      </c>
      <c r="E148" s="6">
        <v>277.99000000000007</v>
      </c>
      <c r="F148" s="16">
        <f t="shared" si="22"/>
        <v>5837.7900000000018</v>
      </c>
      <c r="G148" s="44">
        <v>1.3542659031105797E-4</v>
      </c>
      <c r="H148" s="57"/>
      <c r="I148" s="4" t="s">
        <v>125</v>
      </c>
      <c r="J148" s="71">
        <f t="shared" si="62"/>
        <v>0</v>
      </c>
      <c r="K148" s="71">
        <v>0</v>
      </c>
      <c r="L148" s="71">
        <f t="shared" si="66"/>
        <v>0</v>
      </c>
      <c r="M148" s="71">
        <f t="shared" si="67"/>
        <v>0</v>
      </c>
      <c r="N148" s="77">
        <f t="shared" si="65"/>
        <v>0</v>
      </c>
      <c r="O148" s="17"/>
    </row>
    <row r="149" spans="1:15" x14ac:dyDescent="0.55000000000000004">
      <c r="A149" s="9"/>
      <c r="B149" s="10" t="s">
        <v>126</v>
      </c>
      <c r="C149" s="4" t="s">
        <v>127</v>
      </c>
      <c r="D149" s="5">
        <v>42</v>
      </c>
      <c r="E149" s="6">
        <v>374.21999999999997</v>
      </c>
      <c r="F149" s="16">
        <f t="shared" si="22"/>
        <v>15717.239999999998</v>
      </c>
      <c r="G149" s="44">
        <v>3.6461267402571382E-4</v>
      </c>
      <c r="H149" s="57"/>
      <c r="I149" s="4" t="s">
        <v>127</v>
      </c>
      <c r="J149" s="71">
        <f t="shared" si="62"/>
        <v>0</v>
      </c>
      <c r="K149" s="71">
        <v>0</v>
      </c>
      <c r="L149" s="71">
        <f t="shared" si="66"/>
        <v>0</v>
      </c>
      <c r="M149" s="71">
        <f t="shared" si="67"/>
        <v>0</v>
      </c>
      <c r="N149" s="77">
        <f t="shared" si="65"/>
        <v>0</v>
      </c>
      <c r="O149" s="17"/>
    </row>
    <row r="150" spans="1:15" x14ac:dyDescent="0.55000000000000004">
      <c r="A150" s="9"/>
      <c r="B150" s="10" t="s">
        <v>128</v>
      </c>
      <c r="C150" s="4" t="s">
        <v>76</v>
      </c>
      <c r="D150" s="5">
        <v>94</v>
      </c>
      <c r="E150" s="6">
        <v>171.07000000000002</v>
      </c>
      <c r="F150" s="16">
        <f t="shared" si="22"/>
        <v>16080.580000000002</v>
      </c>
      <c r="G150" s="44">
        <v>3.7304153106298651E-4</v>
      </c>
      <c r="H150" s="57"/>
      <c r="I150" s="4" t="s">
        <v>76</v>
      </c>
      <c r="J150" s="71">
        <f t="shared" si="62"/>
        <v>0</v>
      </c>
      <c r="K150" s="71">
        <v>0</v>
      </c>
      <c r="L150" s="71">
        <f t="shared" si="66"/>
        <v>0</v>
      </c>
      <c r="M150" s="71">
        <f t="shared" si="67"/>
        <v>0</v>
      </c>
      <c r="N150" s="77">
        <f t="shared" si="65"/>
        <v>0</v>
      </c>
      <c r="O150" s="17"/>
    </row>
    <row r="151" spans="1:15" x14ac:dyDescent="0.55000000000000004">
      <c r="A151" s="9"/>
      <c r="B151" s="10" t="s">
        <v>129</v>
      </c>
      <c r="C151" s="4" t="s">
        <v>91</v>
      </c>
      <c r="D151" s="5">
        <v>32</v>
      </c>
      <c r="E151" s="6">
        <v>21.39</v>
      </c>
      <c r="F151" s="16">
        <f t="shared" si="22"/>
        <v>684.48</v>
      </c>
      <c r="G151" s="44">
        <v>1.5878747357495374E-5</v>
      </c>
      <c r="H151" s="57"/>
      <c r="I151" s="4" t="s">
        <v>91</v>
      </c>
      <c r="J151" s="71">
        <f t="shared" si="62"/>
        <v>0</v>
      </c>
      <c r="K151" s="71">
        <v>0</v>
      </c>
      <c r="L151" s="71">
        <f t="shared" si="66"/>
        <v>0</v>
      </c>
      <c r="M151" s="71">
        <f t="shared" si="67"/>
        <v>0</v>
      </c>
      <c r="N151" s="77">
        <f t="shared" si="65"/>
        <v>0</v>
      </c>
      <c r="O151" s="17"/>
    </row>
    <row r="152" spans="1:15" x14ac:dyDescent="0.55000000000000004">
      <c r="A152" s="9"/>
      <c r="B152" s="10" t="s">
        <v>130</v>
      </c>
      <c r="C152" s="4" t="s">
        <v>91</v>
      </c>
      <c r="D152" s="5">
        <v>32</v>
      </c>
      <c r="E152" s="6">
        <v>10.699999999999998</v>
      </c>
      <c r="F152" s="16">
        <f t="shared" si="22"/>
        <v>342.39999999999992</v>
      </c>
      <c r="G152" s="44">
        <v>7.9430854008976387E-6</v>
      </c>
      <c r="H152" s="57"/>
      <c r="I152" s="4" t="s">
        <v>91</v>
      </c>
      <c r="J152" s="71">
        <f t="shared" si="62"/>
        <v>0</v>
      </c>
      <c r="K152" s="71">
        <v>0</v>
      </c>
      <c r="L152" s="71">
        <f t="shared" si="66"/>
        <v>0</v>
      </c>
      <c r="M152" s="71">
        <f t="shared" si="67"/>
        <v>0</v>
      </c>
      <c r="N152" s="77">
        <f t="shared" si="65"/>
        <v>0</v>
      </c>
      <c r="O152" s="17"/>
    </row>
    <row r="153" spans="1:15" x14ac:dyDescent="0.55000000000000004">
      <c r="A153" s="9"/>
      <c r="B153" s="10" t="s">
        <v>131</v>
      </c>
      <c r="C153" s="4" t="s">
        <v>132</v>
      </c>
      <c r="D153" s="5">
        <v>1</v>
      </c>
      <c r="E153" s="6">
        <v>3432</v>
      </c>
      <c r="F153" s="16">
        <f t="shared" si="22"/>
        <v>3432</v>
      </c>
      <c r="G153" s="44">
        <v>7.9616440116474005E-5</v>
      </c>
      <c r="H153" s="57"/>
      <c r="I153" s="4" t="s">
        <v>132</v>
      </c>
      <c r="J153" s="71">
        <f t="shared" si="62"/>
        <v>0</v>
      </c>
      <c r="K153" s="71">
        <v>0</v>
      </c>
      <c r="L153" s="71">
        <f t="shared" si="66"/>
        <v>0</v>
      </c>
      <c r="M153" s="71">
        <f t="shared" si="67"/>
        <v>0</v>
      </c>
      <c r="N153" s="77">
        <f t="shared" si="65"/>
        <v>0</v>
      </c>
      <c r="O153" s="17"/>
    </row>
    <row r="154" spans="1:15" x14ac:dyDescent="0.55000000000000004">
      <c r="A154" s="9"/>
      <c r="B154" s="10" t="s">
        <v>133</v>
      </c>
      <c r="C154" s="4" t="s">
        <v>91</v>
      </c>
      <c r="D154" s="5">
        <v>351</v>
      </c>
      <c r="E154" s="6">
        <v>42.780000000000008</v>
      </c>
      <c r="F154" s="16">
        <f t="shared" si="22"/>
        <v>15015.780000000002</v>
      </c>
      <c r="G154" s="44">
        <v>3.4834002015505486E-4</v>
      </c>
      <c r="H154" s="57"/>
      <c r="I154" s="4" t="s">
        <v>91</v>
      </c>
      <c r="J154" s="71">
        <f t="shared" si="62"/>
        <v>0</v>
      </c>
      <c r="K154" s="71">
        <v>0</v>
      </c>
      <c r="L154" s="71">
        <f t="shared" si="66"/>
        <v>0</v>
      </c>
      <c r="M154" s="71">
        <f t="shared" si="67"/>
        <v>0</v>
      </c>
      <c r="N154" s="77">
        <f t="shared" si="65"/>
        <v>0</v>
      </c>
      <c r="O154" s="17"/>
    </row>
    <row r="155" spans="1:15" x14ac:dyDescent="0.55000000000000004">
      <c r="A155" s="9"/>
      <c r="B155" s="10" t="s">
        <v>134</v>
      </c>
      <c r="C155" s="4" t="s">
        <v>135</v>
      </c>
      <c r="D155" s="5">
        <v>6</v>
      </c>
      <c r="E155" s="6">
        <v>14497.769999999999</v>
      </c>
      <c r="F155" s="16">
        <f t="shared" ref="F155:F218" si="68">D155*E155</f>
        <v>86986.62</v>
      </c>
      <c r="G155" s="44">
        <v>2.0179385262717015E-3</v>
      </c>
      <c r="H155" s="57"/>
      <c r="I155" s="4" t="s">
        <v>135</v>
      </c>
      <c r="J155" s="71">
        <f t="shared" si="62"/>
        <v>0</v>
      </c>
      <c r="K155" s="71">
        <v>0</v>
      </c>
      <c r="L155" s="71">
        <f t="shared" si="66"/>
        <v>0</v>
      </c>
      <c r="M155" s="71">
        <f t="shared" si="67"/>
        <v>0</v>
      </c>
      <c r="N155" s="77">
        <f t="shared" si="65"/>
        <v>0</v>
      </c>
      <c r="O155" s="17"/>
    </row>
    <row r="156" spans="1:15" x14ac:dyDescent="0.55000000000000004">
      <c r="A156" s="9"/>
      <c r="B156" s="10" t="s">
        <v>136</v>
      </c>
      <c r="C156" s="4" t="s">
        <v>135</v>
      </c>
      <c r="D156" s="5">
        <v>3</v>
      </c>
      <c r="E156" s="6">
        <v>18175.66</v>
      </c>
      <c r="F156" s="16">
        <f t="shared" si="68"/>
        <v>54526.979999999996</v>
      </c>
      <c r="G156" s="44">
        <v>1.2649312464749929E-3</v>
      </c>
      <c r="H156" s="57"/>
      <c r="I156" s="4" t="s">
        <v>135</v>
      </c>
      <c r="J156" s="71">
        <f t="shared" si="62"/>
        <v>0</v>
      </c>
      <c r="K156" s="71">
        <v>0</v>
      </c>
      <c r="L156" s="71">
        <f t="shared" si="66"/>
        <v>0</v>
      </c>
      <c r="M156" s="71">
        <f t="shared" si="67"/>
        <v>0</v>
      </c>
      <c r="N156" s="77">
        <f t="shared" si="65"/>
        <v>0</v>
      </c>
      <c r="O156" s="17"/>
    </row>
    <row r="157" spans="1:15" x14ac:dyDescent="0.55000000000000004">
      <c r="A157" s="9"/>
      <c r="B157" s="10" t="s">
        <v>137</v>
      </c>
      <c r="C157" s="4" t="s">
        <v>135</v>
      </c>
      <c r="D157" s="5">
        <v>11</v>
      </c>
      <c r="E157" s="6">
        <v>855.32999999999993</v>
      </c>
      <c r="F157" s="16">
        <f t="shared" si="68"/>
        <v>9408.6299999999992</v>
      </c>
      <c r="G157" s="44">
        <v>2.1826387732315291E-4</v>
      </c>
      <c r="H157" s="57"/>
      <c r="I157" s="4" t="s">
        <v>135</v>
      </c>
      <c r="J157" s="71">
        <f t="shared" si="62"/>
        <v>0</v>
      </c>
      <c r="K157" s="71">
        <v>0</v>
      </c>
      <c r="L157" s="71">
        <f t="shared" si="66"/>
        <v>0</v>
      </c>
      <c r="M157" s="71">
        <f t="shared" si="67"/>
        <v>0</v>
      </c>
      <c r="N157" s="77">
        <f t="shared" si="65"/>
        <v>0</v>
      </c>
      <c r="O157" s="17"/>
    </row>
    <row r="158" spans="1:15" x14ac:dyDescent="0.55000000000000004">
      <c r="A158" s="9"/>
      <c r="B158" s="10" t="s">
        <v>138</v>
      </c>
      <c r="C158" s="4" t="s">
        <v>91</v>
      </c>
      <c r="D158" s="5">
        <v>141</v>
      </c>
      <c r="E158" s="6">
        <v>53.470000000000006</v>
      </c>
      <c r="F158" s="16">
        <f t="shared" si="68"/>
        <v>7539.27</v>
      </c>
      <c r="G158" s="44">
        <v>1.7489797158418678E-4</v>
      </c>
      <c r="H158" s="57"/>
      <c r="I158" s="4" t="s">
        <v>91</v>
      </c>
      <c r="J158" s="71">
        <f t="shared" si="62"/>
        <v>0</v>
      </c>
      <c r="K158" s="71">
        <v>0</v>
      </c>
      <c r="L158" s="71">
        <f t="shared" si="66"/>
        <v>0</v>
      </c>
      <c r="M158" s="71">
        <f t="shared" si="67"/>
        <v>0</v>
      </c>
      <c r="N158" s="77">
        <f t="shared" si="65"/>
        <v>0</v>
      </c>
      <c r="O158" s="17"/>
    </row>
    <row r="159" spans="1:15" x14ac:dyDescent="0.55000000000000004">
      <c r="A159" s="9"/>
      <c r="B159" s="10" t="s">
        <v>139</v>
      </c>
      <c r="C159" s="4" t="s">
        <v>91</v>
      </c>
      <c r="D159" s="5">
        <v>1</v>
      </c>
      <c r="E159" s="6">
        <v>213.84</v>
      </c>
      <c r="F159" s="16">
        <f t="shared" si="68"/>
        <v>213.84</v>
      </c>
      <c r="G159" s="44">
        <v>4.9607166534110727E-6</v>
      </c>
      <c r="H159" s="57"/>
      <c r="I159" s="4" t="s">
        <v>91</v>
      </c>
      <c r="J159" s="71">
        <f t="shared" si="62"/>
        <v>0</v>
      </c>
      <c r="K159" s="71">
        <v>0</v>
      </c>
      <c r="L159" s="71">
        <f t="shared" si="66"/>
        <v>0</v>
      </c>
      <c r="M159" s="71">
        <f t="shared" si="67"/>
        <v>0</v>
      </c>
      <c r="N159" s="77">
        <f t="shared" si="65"/>
        <v>0</v>
      </c>
      <c r="O159" s="17"/>
    </row>
    <row r="160" spans="1:15" x14ac:dyDescent="0.55000000000000004">
      <c r="A160" s="9"/>
      <c r="B160" s="10"/>
      <c r="C160" s="4"/>
      <c r="D160" s="5"/>
      <c r="E160" s="6"/>
      <c r="F160" s="16"/>
      <c r="G160" s="44"/>
      <c r="H160" s="57"/>
      <c r="I160" s="4"/>
      <c r="J160" s="71"/>
      <c r="K160" s="14"/>
      <c r="L160" s="71"/>
      <c r="M160" s="71"/>
      <c r="N160" s="77"/>
      <c r="O160" s="17"/>
    </row>
    <row r="161" spans="1:15" x14ac:dyDescent="0.55000000000000004">
      <c r="A161" s="9" t="s">
        <v>140</v>
      </c>
      <c r="B161" s="10" t="s">
        <v>141</v>
      </c>
      <c r="C161" s="4" t="s">
        <v>5</v>
      </c>
      <c r="D161" s="5">
        <v>1</v>
      </c>
      <c r="E161" s="6">
        <v>737348.8400000002</v>
      </c>
      <c r="F161" s="16">
        <f t="shared" si="68"/>
        <v>737348.8400000002</v>
      </c>
      <c r="G161" s="44">
        <v>1.7105212635434613E-2</v>
      </c>
      <c r="H161" s="57">
        <v>1</v>
      </c>
      <c r="I161" s="4" t="s">
        <v>5</v>
      </c>
      <c r="J161" s="71"/>
      <c r="K161" s="71">
        <v>0</v>
      </c>
      <c r="L161" s="71">
        <f t="shared" ref="L161" si="69">H161*J161</f>
        <v>0</v>
      </c>
      <c r="M161" s="71">
        <f t="shared" ref="M161" si="70">K161+L161</f>
        <v>0</v>
      </c>
      <c r="N161" s="77">
        <f t="shared" si="65"/>
        <v>0</v>
      </c>
      <c r="O161" s="17"/>
    </row>
    <row r="162" spans="1:15" x14ac:dyDescent="0.55000000000000004">
      <c r="A162" s="9"/>
      <c r="B162" s="10"/>
      <c r="C162" s="4"/>
      <c r="D162" s="5"/>
      <c r="E162" s="6"/>
      <c r="F162" s="16"/>
      <c r="G162" s="44"/>
      <c r="H162" s="57"/>
      <c r="I162" s="4"/>
      <c r="J162" s="71"/>
      <c r="K162" s="14"/>
      <c r="L162" s="71"/>
      <c r="M162" s="71"/>
      <c r="N162" s="77"/>
      <c r="O162" s="17"/>
    </row>
    <row r="163" spans="1:15" x14ac:dyDescent="0.55000000000000004">
      <c r="A163" s="9" t="s">
        <v>142</v>
      </c>
      <c r="B163" s="10" t="s">
        <v>143</v>
      </c>
      <c r="C163" s="4" t="s">
        <v>5</v>
      </c>
      <c r="D163" s="5">
        <v>1</v>
      </c>
      <c r="E163" s="6">
        <v>5684.06</v>
      </c>
      <c r="F163" s="16">
        <f t="shared" si="68"/>
        <v>5684.06</v>
      </c>
      <c r="G163" s="44">
        <v>1.3186032127285701E-4</v>
      </c>
      <c r="H163" s="57">
        <v>1</v>
      </c>
      <c r="I163" s="4" t="s">
        <v>5</v>
      </c>
      <c r="J163" s="71"/>
      <c r="K163" s="71">
        <v>0</v>
      </c>
      <c r="L163" s="71">
        <f t="shared" ref="L163" si="71">H163*J163</f>
        <v>0</v>
      </c>
      <c r="M163" s="71">
        <f t="shared" ref="M163" si="72">K163+L163</f>
        <v>0</v>
      </c>
      <c r="N163" s="77">
        <f t="shared" si="65"/>
        <v>0</v>
      </c>
      <c r="O163" s="17"/>
    </row>
    <row r="164" spans="1:15" x14ac:dyDescent="0.55000000000000004">
      <c r="A164" s="9"/>
      <c r="B164" s="10"/>
      <c r="C164" s="4"/>
      <c r="D164" s="5"/>
      <c r="E164" s="6"/>
      <c r="F164" s="16"/>
      <c r="G164" s="44"/>
      <c r="H164" s="57"/>
      <c r="I164" s="4"/>
      <c r="J164" s="71"/>
      <c r="K164" s="14"/>
      <c r="L164" s="71"/>
      <c r="M164" s="71"/>
      <c r="N164" s="77"/>
      <c r="O164" s="17"/>
    </row>
    <row r="165" spans="1:15" x14ac:dyDescent="0.55000000000000004">
      <c r="A165" s="9" t="s">
        <v>144</v>
      </c>
      <c r="B165" s="10" t="s">
        <v>145</v>
      </c>
      <c r="C165" s="4" t="s">
        <v>5</v>
      </c>
      <c r="D165" s="5">
        <v>1</v>
      </c>
      <c r="E165" s="6">
        <v>41291.54</v>
      </c>
      <c r="F165" s="16">
        <f t="shared" si="68"/>
        <v>41291.54</v>
      </c>
      <c r="G165" s="44">
        <v>9.5789202264772474E-4</v>
      </c>
      <c r="H165" s="57">
        <v>1</v>
      </c>
      <c r="I165" s="4" t="s">
        <v>5</v>
      </c>
      <c r="J165" s="71"/>
      <c r="K165" s="71">
        <v>0</v>
      </c>
      <c r="L165" s="71">
        <f t="shared" ref="L165" si="73">H165*J165</f>
        <v>0</v>
      </c>
      <c r="M165" s="71">
        <f t="shared" ref="M165" si="74">K165+L165</f>
        <v>0</v>
      </c>
      <c r="N165" s="77">
        <f t="shared" si="65"/>
        <v>0</v>
      </c>
      <c r="O165" s="17"/>
    </row>
    <row r="166" spans="1:15" x14ac:dyDescent="0.55000000000000004">
      <c r="A166" s="9"/>
      <c r="B166" s="10"/>
      <c r="C166" s="4"/>
      <c r="D166" s="5"/>
      <c r="E166" s="6"/>
      <c r="F166" s="16"/>
      <c r="G166" s="44"/>
      <c r="H166" s="57"/>
      <c r="I166" s="4"/>
      <c r="J166" s="71"/>
      <c r="K166" s="14"/>
      <c r="L166" s="71"/>
      <c r="M166" s="71"/>
      <c r="N166" s="77"/>
      <c r="O166" s="17"/>
    </row>
    <row r="167" spans="1:15" x14ac:dyDescent="0.55000000000000004">
      <c r="A167" s="9" t="s">
        <v>146</v>
      </c>
      <c r="B167" s="10" t="s">
        <v>147</v>
      </c>
      <c r="C167" s="4"/>
      <c r="D167" s="5"/>
      <c r="E167" s="6"/>
      <c r="F167" s="16"/>
      <c r="G167" s="44"/>
      <c r="H167" s="57"/>
      <c r="I167" s="4"/>
      <c r="J167" s="71"/>
      <c r="K167" s="14"/>
      <c r="L167" s="71"/>
      <c r="M167" s="71"/>
      <c r="N167" s="77"/>
      <c r="O167" s="17"/>
    </row>
    <row r="168" spans="1:15" x14ac:dyDescent="0.55000000000000004">
      <c r="A168" s="9"/>
      <c r="B168" s="10" t="s">
        <v>148</v>
      </c>
      <c r="C168" s="4" t="s">
        <v>61</v>
      </c>
      <c r="D168" s="5">
        <v>3</v>
      </c>
      <c r="E168" s="6">
        <v>741057.71</v>
      </c>
      <c r="F168" s="16">
        <f t="shared" si="68"/>
        <v>2223173.13</v>
      </c>
      <c r="G168" s="44">
        <v>5.1573755936246815E-2</v>
      </c>
      <c r="H168" s="57"/>
      <c r="I168" s="4" t="s">
        <v>61</v>
      </c>
      <c r="J168" s="71">
        <f>H168*E168</f>
        <v>0</v>
      </c>
      <c r="K168" s="71">
        <v>0</v>
      </c>
      <c r="L168" s="71">
        <f t="shared" ref="L168:L171" si="75">H168*J168</f>
        <v>0</v>
      </c>
      <c r="M168" s="71">
        <f t="shared" ref="M168:M171" si="76">K168+L168</f>
        <v>0</v>
      </c>
      <c r="N168" s="77">
        <f t="shared" ref="N168:N171" si="77">M168/43106674.89</f>
        <v>0</v>
      </c>
      <c r="O168" s="17"/>
    </row>
    <row r="169" spans="1:15" ht="70.5" x14ac:dyDescent="0.55000000000000004">
      <c r="A169" s="9"/>
      <c r="B169" s="10" t="s">
        <v>149</v>
      </c>
      <c r="C169" s="4" t="s">
        <v>61</v>
      </c>
      <c r="D169" s="5">
        <v>10</v>
      </c>
      <c r="E169" s="6">
        <v>55087.340000000004</v>
      </c>
      <c r="F169" s="16">
        <f t="shared" si="68"/>
        <v>550873.4</v>
      </c>
      <c r="G169" s="44">
        <v>1.277930625374663E-2</v>
      </c>
      <c r="H169" s="57"/>
      <c r="I169" s="4" t="s">
        <v>61</v>
      </c>
      <c r="J169" s="71">
        <f>H169*E169</f>
        <v>0</v>
      </c>
      <c r="K169" s="71">
        <v>0</v>
      </c>
      <c r="L169" s="71">
        <f t="shared" si="75"/>
        <v>0</v>
      </c>
      <c r="M169" s="71">
        <f t="shared" si="76"/>
        <v>0</v>
      </c>
      <c r="N169" s="77">
        <f t="shared" si="77"/>
        <v>0</v>
      </c>
      <c r="O169" s="17"/>
    </row>
    <row r="170" spans="1:15" ht="28.2" x14ac:dyDescent="0.55000000000000004">
      <c r="A170" s="9"/>
      <c r="B170" s="10" t="s">
        <v>150</v>
      </c>
      <c r="C170" s="4" t="s">
        <v>61</v>
      </c>
      <c r="D170" s="5">
        <v>2</v>
      </c>
      <c r="E170" s="6">
        <v>56222.86</v>
      </c>
      <c r="F170" s="16">
        <f t="shared" si="68"/>
        <v>112445.72</v>
      </c>
      <c r="G170" s="44">
        <v>2.6085454349457468E-3</v>
      </c>
      <c r="H170" s="57"/>
      <c r="I170" s="4" t="s">
        <v>61</v>
      </c>
      <c r="J170" s="71">
        <f>H170*E170</f>
        <v>0</v>
      </c>
      <c r="K170" s="71">
        <v>0</v>
      </c>
      <c r="L170" s="71">
        <f t="shared" si="75"/>
        <v>0</v>
      </c>
      <c r="M170" s="71">
        <f t="shared" si="76"/>
        <v>0</v>
      </c>
      <c r="N170" s="77">
        <f t="shared" si="77"/>
        <v>0</v>
      </c>
      <c r="O170" s="17"/>
    </row>
    <row r="171" spans="1:15" ht="42.3" x14ac:dyDescent="0.55000000000000004">
      <c r="A171" s="9"/>
      <c r="B171" s="10" t="s">
        <v>151</v>
      </c>
      <c r="C171" s="4" t="s">
        <v>61</v>
      </c>
      <c r="D171" s="5">
        <v>1</v>
      </c>
      <c r="E171" s="6">
        <v>87530.69</v>
      </c>
      <c r="F171" s="16">
        <f t="shared" si="68"/>
        <v>87530.69</v>
      </c>
      <c r="G171" s="44">
        <v>2.0305600054599795E-3</v>
      </c>
      <c r="H171" s="57"/>
      <c r="I171" s="4" t="s">
        <v>61</v>
      </c>
      <c r="J171" s="71">
        <f>H171*E171</f>
        <v>0</v>
      </c>
      <c r="K171" s="71">
        <v>0</v>
      </c>
      <c r="L171" s="71">
        <f t="shared" si="75"/>
        <v>0</v>
      </c>
      <c r="M171" s="71">
        <f t="shared" si="76"/>
        <v>0</v>
      </c>
      <c r="N171" s="77">
        <f t="shared" si="77"/>
        <v>0</v>
      </c>
      <c r="O171" s="17"/>
    </row>
    <row r="172" spans="1:15" x14ac:dyDescent="0.55000000000000004">
      <c r="A172" s="9"/>
      <c r="B172" s="10"/>
      <c r="C172" s="4"/>
      <c r="D172" s="5"/>
      <c r="E172" s="6"/>
      <c r="F172" s="16"/>
      <c r="G172" s="44"/>
      <c r="H172" s="57"/>
      <c r="I172" s="4"/>
      <c r="J172" s="71"/>
      <c r="K172" s="14"/>
      <c r="L172" s="71"/>
      <c r="M172" s="71"/>
      <c r="N172" s="77"/>
      <c r="O172" s="17"/>
    </row>
    <row r="173" spans="1:15" x14ac:dyDescent="0.55000000000000004">
      <c r="A173" s="9"/>
      <c r="B173" s="10" t="s">
        <v>65</v>
      </c>
      <c r="C173" s="4"/>
      <c r="D173" s="5"/>
      <c r="E173" s="6"/>
      <c r="F173" s="16"/>
      <c r="G173" s="44"/>
      <c r="H173" s="57"/>
      <c r="I173" s="4"/>
      <c r="J173" s="71"/>
      <c r="K173" s="14"/>
      <c r="L173" s="71"/>
      <c r="M173" s="71"/>
      <c r="N173" s="77"/>
      <c r="O173" s="17"/>
    </row>
    <row r="174" spans="1:15" x14ac:dyDescent="0.55000000000000004">
      <c r="A174" s="9"/>
      <c r="B174" s="10" t="s">
        <v>152</v>
      </c>
      <c r="C174" s="4" t="s">
        <v>61</v>
      </c>
      <c r="D174" s="5">
        <v>13</v>
      </c>
      <c r="E174" s="6">
        <v>11760.720000000001</v>
      </c>
      <c r="F174" s="16">
        <f t="shared" si="68"/>
        <v>152889.36000000002</v>
      </c>
      <c r="G174" s="44">
        <v>3.5467676500250691E-3</v>
      </c>
      <c r="H174" s="57"/>
      <c r="I174" s="4" t="s">
        <v>61</v>
      </c>
      <c r="J174" s="71"/>
      <c r="K174" s="71">
        <v>0</v>
      </c>
      <c r="L174" s="71">
        <f t="shared" ref="L174:L181" si="78">H174*J174</f>
        <v>0</v>
      </c>
      <c r="M174" s="71">
        <f t="shared" ref="M174:M181" si="79">K174+L174</f>
        <v>0</v>
      </c>
      <c r="N174" s="77">
        <f t="shared" ref="N174:N181" si="80">M174/43106674.89</f>
        <v>0</v>
      </c>
      <c r="O174" s="17"/>
    </row>
    <row r="175" spans="1:15" x14ac:dyDescent="0.55000000000000004">
      <c r="A175" s="9"/>
      <c r="B175" s="10" t="s">
        <v>67</v>
      </c>
      <c r="C175" s="4" t="s">
        <v>61</v>
      </c>
      <c r="D175" s="5">
        <v>1</v>
      </c>
      <c r="E175" s="6">
        <v>22345.370000000003</v>
      </c>
      <c r="F175" s="16">
        <f t="shared" si="68"/>
        <v>22345.370000000003</v>
      </c>
      <c r="G175" s="44">
        <v>5.1837377986172926E-4</v>
      </c>
      <c r="H175" s="57"/>
      <c r="I175" s="4" t="s">
        <v>61</v>
      </c>
      <c r="J175" s="71">
        <f t="shared" ref="J175:J181" si="81">H175*E175</f>
        <v>0</v>
      </c>
      <c r="K175" s="71">
        <v>0</v>
      </c>
      <c r="L175" s="71">
        <f t="shared" si="78"/>
        <v>0</v>
      </c>
      <c r="M175" s="71">
        <f t="shared" si="79"/>
        <v>0</v>
      </c>
      <c r="N175" s="77">
        <f t="shared" si="80"/>
        <v>0</v>
      </c>
      <c r="O175" s="17"/>
    </row>
    <row r="176" spans="1:15" x14ac:dyDescent="0.55000000000000004">
      <c r="A176" s="9"/>
      <c r="B176" s="10" t="s">
        <v>68</v>
      </c>
      <c r="C176" s="4" t="s">
        <v>61</v>
      </c>
      <c r="D176" s="5">
        <v>6</v>
      </c>
      <c r="E176" s="6">
        <v>4351.47</v>
      </c>
      <c r="F176" s="16">
        <f t="shared" si="68"/>
        <v>26108.82</v>
      </c>
      <c r="G176" s="44">
        <v>6.0567928439446352E-4</v>
      </c>
      <c r="H176" s="57"/>
      <c r="I176" s="4" t="s">
        <v>61</v>
      </c>
      <c r="J176" s="71">
        <f t="shared" si="81"/>
        <v>0</v>
      </c>
      <c r="K176" s="71">
        <v>0</v>
      </c>
      <c r="L176" s="71">
        <f t="shared" si="78"/>
        <v>0</v>
      </c>
      <c r="M176" s="71">
        <f t="shared" si="79"/>
        <v>0</v>
      </c>
      <c r="N176" s="77">
        <f t="shared" si="80"/>
        <v>0</v>
      </c>
      <c r="O176" s="17"/>
    </row>
    <row r="177" spans="1:15" x14ac:dyDescent="0.55000000000000004">
      <c r="A177" s="9"/>
      <c r="B177" s="10" t="s">
        <v>69</v>
      </c>
      <c r="C177" s="4" t="s">
        <v>61</v>
      </c>
      <c r="D177" s="5">
        <v>1</v>
      </c>
      <c r="E177" s="6">
        <v>4939.5100000000011</v>
      </c>
      <c r="F177" s="16">
        <f t="shared" si="68"/>
        <v>4939.5100000000011</v>
      </c>
      <c r="G177" s="44">
        <v>1.1458805423068899E-4</v>
      </c>
      <c r="H177" s="57"/>
      <c r="I177" s="4" t="s">
        <v>61</v>
      </c>
      <c r="J177" s="71">
        <f t="shared" si="81"/>
        <v>0</v>
      </c>
      <c r="K177" s="71">
        <v>0</v>
      </c>
      <c r="L177" s="71">
        <f t="shared" si="78"/>
        <v>0</v>
      </c>
      <c r="M177" s="71">
        <f t="shared" si="79"/>
        <v>0</v>
      </c>
      <c r="N177" s="77">
        <f t="shared" si="80"/>
        <v>0</v>
      </c>
      <c r="O177" s="17"/>
    </row>
    <row r="178" spans="1:15" x14ac:dyDescent="0.55000000000000004">
      <c r="A178" s="9"/>
      <c r="B178" s="10" t="s">
        <v>153</v>
      </c>
      <c r="C178" s="4" t="s">
        <v>61</v>
      </c>
      <c r="D178" s="5">
        <v>3</v>
      </c>
      <c r="E178" s="6">
        <v>8232.51</v>
      </c>
      <c r="F178" s="16">
        <f t="shared" si="68"/>
        <v>24697.53</v>
      </c>
      <c r="G178" s="44">
        <v>5.7293980718817607E-4</v>
      </c>
      <c r="H178" s="57"/>
      <c r="I178" s="4" t="s">
        <v>61</v>
      </c>
      <c r="J178" s="71">
        <f t="shared" si="81"/>
        <v>0</v>
      </c>
      <c r="K178" s="71">
        <v>0</v>
      </c>
      <c r="L178" s="71">
        <f t="shared" si="78"/>
        <v>0</v>
      </c>
      <c r="M178" s="71">
        <f t="shared" si="79"/>
        <v>0</v>
      </c>
      <c r="N178" s="77">
        <f t="shared" si="80"/>
        <v>0</v>
      </c>
      <c r="O178" s="17"/>
    </row>
    <row r="179" spans="1:15" x14ac:dyDescent="0.55000000000000004">
      <c r="A179" s="9"/>
      <c r="B179" s="10" t="s">
        <v>154</v>
      </c>
      <c r="C179" s="4" t="s">
        <v>61</v>
      </c>
      <c r="D179" s="5">
        <v>2</v>
      </c>
      <c r="E179" s="6">
        <v>14112.869999999999</v>
      </c>
      <c r="F179" s="16">
        <f t="shared" si="68"/>
        <v>28225.739999999998</v>
      </c>
      <c r="G179" s="44">
        <v>6.5478815222994318E-4</v>
      </c>
      <c r="H179" s="57"/>
      <c r="I179" s="4" t="s">
        <v>61</v>
      </c>
      <c r="J179" s="71">
        <f t="shared" si="81"/>
        <v>0</v>
      </c>
      <c r="K179" s="71">
        <v>0</v>
      </c>
      <c r="L179" s="71">
        <f t="shared" si="78"/>
        <v>0</v>
      </c>
      <c r="M179" s="71">
        <f t="shared" si="79"/>
        <v>0</v>
      </c>
      <c r="N179" s="77">
        <f t="shared" si="80"/>
        <v>0</v>
      </c>
      <c r="O179" s="17"/>
    </row>
    <row r="180" spans="1:15" x14ac:dyDescent="0.55000000000000004">
      <c r="A180" s="9"/>
      <c r="B180" s="10" t="s">
        <v>72</v>
      </c>
      <c r="C180" s="4" t="s">
        <v>61</v>
      </c>
      <c r="D180" s="5">
        <v>2</v>
      </c>
      <c r="E180" s="6">
        <v>5997.97</v>
      </c>
      <c r="F180" s="16">
        <f t="shared" si="68"/>
        <v>11995.94</v>
      </c>
      <c r="G180" s="44">
        <v>2.782849762968576E-4</v>
      </c>
      <c r="H180" s="57"/>
      <c r="I180" s="4" t="s">
        <v>61</v>
      </c>
      <c r="J180" s="71">
        <f t="shared" si="81"/>
        <v>0</v>
      </c>
      <c r="K180" s="71">
        <v>0</v>
      </c>
      <c r="L180" s="71">
        <f t="shared" si="78"/>
        <v>0</v>
      </c>
      <c r="M180" s="71">
        <f t="shared" si="79"/>
        <v>0</v>
      </c>
      <c r="N180" s="77">
        <f t="shared" si="80"/>
        <v>0</v>
      </c>
      <c r="O180" s="17"/>
    </row>
    <row r="181" spans="1:15" x14ac:dyDescent="0.55000000000000004">
      <c r="A181" s="9"/>
      <c r="B181" s="10" t="s">
        <v>73</v>
      </c>
      <c r="C181" s="4" t="s">
        <v>61</v>
      </c>
      <c r="D181" s="5">
        <v>1</v>
      </c>
      <c r="E181" s="6">
        <v>39751.22</v>
      </c>
      <c r="F181" s="16">
        <f t="shared" si="68"/>
        <v>39751.22</v>
      </c>
      <c r="G181" s="44">
        <v>9.221592735101352E-4</v>
      </c>
      <c r="H181" s="57"/>
      <c r="I181" s="4" t="s">
        <v>61</v>
      </c>
      <c r="J181" s="71">
        <f t="shared" si="81"/>
        <v>0</v>
      </c>
      <c r="K181" s="71">
        <v>0</v>
      </c>
      <c r="L181" s="71">
        <f t="shared" si="78"/>
        <v>0</v>
      </c>
      <c r="M181" s="71">
        <f t="shared" si="79"/>
        <v>0</v>
      </c>
      <c r="N181" s="77">
        <f t="shared" si="80"/>
        <v>0</v>
      </c>
      <c r="O181" s="17"/>
    </row>
    <row r="182" spans="1:15" x14ac:dyDescent="0.55000000000000004">
      <c r="A182" s="9"/>
      <c r="B182" s="10"/>
      <c r="C182" s="4"/>
      <c r="D182" s="5"/>
      <c r="E182" s="6"/>
      <c r="F182" s="16"/>
      <c r="G182" s="44"/>
      <c r="H182" s="57"/>
      <c r="I182" s="4"/>
      <c r="J182" s="71"/>
      <c r="K182" s="14"/>
      <c r="L182" s="71"/>
      <c r="M182" s="71"/>
      <c r="N182" s="77"/>
      <c r="O182" s="17"/>
    </row>
    <row r="183" spans="1:15" x14ac:dyDescent="0.55000000000000004">
      <c r="A183" s="9"/>
      <c r="B183" s="10" t="s">
        <v>74</v>
      </c>
      <c r="C183" s="4"/>
      <c r="D183" s="5"/>
      <c r="E183" s="6"/>
      <c r="F183" s="16"/>
      <c r="G183" s="44"/>
      <c r="H183" s="57"/>
      <c r="I183" s="4"/>
      <c r="J183" s="71"/>
      <c r="K183" s="14"/>
      <c r="L183" s="71"/>
      <c r="M183" s="71"/>
      <c r="N183" s="77"/>
      <c r="O183" s="17"/>
    </row>
    <row r="184" spans="1:15" x14ac:dyDescent="0.55000000000000004">
      <c r="A184" s="9"/>
      <c r="B184" s="10" t="s">
        <v>75</v>
      </c>
      <c r="C184" s="4" t="s">
        <v>76</v>
      </c>
      <c r="D184" s="5">
        <v>14</v>
      </c>
      <c r="E184" s="6">
        <v>2120.3300000000004</v>
      </c>
      <c r="F184" s="16">
        <f t="shared" si="68"/>
        <v>29684.620000000006</v>
      </c>
      <c r="G184" s="44">
        <v>6.8863163479320724E-4</v>
      </c>
      <c r="H184" s="57"/>
      <c r="I184" s="4" t="s">
        <v>76</v>
      </c>
      <c r="J184" s="71">
        <f t="shared" ref="J184:J192" si="82">H184*E184</f>
        <v>0</v>
      </c>
      <c r="K184" s="71">
        <v>0</v>
      </c>
      <c r="L184" s="71">
        <f t="shared" ref="L184:L192" si="83">H184*J184</f>
        <v>0</v>
      </c>
      <c r="M184" s="71">
        <f t="shared" ref="M184:M192" si="84">K184+L184</f>
        <v>0</v>
      </c>
      <c r="N184" s="77">
        <f t="shared" ref="N184:N192" si="85">M184/43106674.89</f>
        <v>0</v>
      </c>
      <c r="O184" s="17"/>
    </row>
    <row r="185" spans="1:15" x14ac:dyDescent="0.55000000000000004">
      <c r="A185" s="9"/>
      <c r="B185" s="10" t="s">
        <v>77</v>
      </c>
      <c r="C185" s="4" t="s">
        <v>76</v>
      </c>
      <c r="D185" s="5">
        <v>11</v>
      </c>
      <c r="E185" s="6">
        <v>2952.3500000000004</v>
      </c>
      <c r="F185" s="16">
        <f t="shared" si="68"/>
        <v>32475.850000000006</v>
      </c>
      <c r="G185" s="44">
        <v>7.5338332364702589E-4</v>
      </c>
      <c r="H185" s="57"/>
      <c r="I185" s="4" t="s">
        <v>76</v>
      </c>
      <c r="J185" s="71">
        <f t="shared" si="82"/>
        <v>0</v>
      </c>
      <c r="K185" s="71">
        <v>0</v>
      </c>
      <c r="L185" s="71">
        <f t="shared" si="83"/>
        <v>0</v>
      </c>
      <c r="M185" s="71">
        <f t="shared" si="84"/>
        <v>0</v>
      </c>
      <c r="N185" s="77">
        <f t="shared" si="85"/>
        <v>0</v>
      </c>
      <c r="O185" s="17"/>
    </row>
    <row r="186" spans="1:15" x14ac:dyDescent="0.55000000000000004">
      <c r="A186" s="9"/>
      <c r="B186" s="10" t="s">
        <v>78</v>
      </c>
      <c r="C186" s="4" t="s">
        <v>76</v>
      </c>
      <c r="D186" s="5">
        <v>15</v>
      </c>
      <c r="E186" s="6">
        <v>4696.92</v>
      </c>
      <c r="F186" s="16">
        <f t="shared" si="68"/>
        <v>70453.8</v>
      </c>
      <c r="G186" s="44">
        <v>1.6344058125518754E-3</v>
      </c>
      <c r="H186" s="57"/>
      <c r="I186" s="4" t="s">
        <v>76</v>
      </c>
      <c r="J186" s="71">
        <f t="shared" si="82"/>
        <v>0</v>
      </c>
      <c r="K186" s="71">
        <v>0</v>
      </c>
      <c r="L186" s="71">
        <f t="shared" si="83"/>
        <v>0</v>
      </c>
      <c r="M186" s="71">
        <f t="shared" si="84"/>
        <v>0</v>
      </c>
      <c r="N186" s="77">
        <f t="shared" si="85"/>
        <v>0</v>
      </c>
      <c r="O186" s="17"/>
    </row>
    <row r="187" spans="1:15" x14ac:dyDescent="0.55000000000000004">
      <c r="A187" s="9"/>
      <c r="B187" s="10" t="s">
        <v>79</v>
      </c>
      <c r="C187" s="4" t="s">
        <v>76</v>
      </c>
      <c r="D187" s="5">
        <v>12</v>
      </c>
      <c r="E187" s="6">
        <v>6775.95</v>
      </c>
      <c r="F187" s="16">
        <f t="shared" si="68"/>
        <v>81311.399999999994</v>
      </c>
      <c r="G187" s="44">
        <v>1.8862832776476294E-3</v>
      </c>
      <c r="H187" s="57"/>
      <c r="I187" s="4" t="s">
        <v>76</v>
      </c>
      <c r="J187" s="71">
        <f t="shared" si="82"/>
        <v>0</v>
      </c>
      <c r="K187" s="71">
        <v>0</v>
      </c>
      <c r="L187" s="71">
        <f t="shared" si="83"/>
        <v>0</v>
      </c>
      <c r="M187" s="71">
        <f t="shared" si="84"/>
        <v>0</v>
      </c>
      <c r="N187" s="77">
        <f t="shared" si="85"/>
        <v>0</v>
      </c>
      <c r="O187" s="17"/>
    </row>
    <row r="188" spans="1:15" x14ac:dyDescent="0.55000000000000004">
      <c r="A188" s="9"/>
      <c r="B188" s="10" t="s">
        <v>80</v>
      </c>
      <c r="C188" s="4" t="s">
        <v>76</v>
      </c>
      <c r="D188" s="5">
        <v>13</v>
      </c>
      <c r="E188" s="6">
        <v>8642.33</v>
      </c>
      <c r="F188" s="16">
        <f t="shared" si="68"/>
        <v>112350.29</v>
      </c>
      <c r="G188" s="44">
        <v>2.6063316246659348E-3</v>
      </c>
      <c r="H188" s="57"/>
      <c r="I188" s="4" t="s">
        <v>76</v>
      </c>
      <c r="J188" s="71">
        <f t="shared" si="82"/>
        <v>0</v>
      </c>
      <c r="K188" s="71">
        <v>0</v>
      </c>
      <c r="L188" s="71">
        <f t="shared" si="83"/>
        <v>0</v>
      </c>
      <c r="M188" s="71">
        <f t="shared" si="84"/>
        <v>0</v>
      </c>
      <c r="N188" s="77">
        <f t="shared" si="85"/>
        <v>0</v>
      </c>
      <c r="O188" s="17"/>
    </row>
    <row r="189" spans="1:15" x14ac:dyDescent="0.55000000000000004">
      <c r="A189" s="9"/>
      <c r="B189" s="10" t="s">
        <v>81</v>
      </c>
      <c r="C189" s="4" t="s">
        <v>76</v>
      </c>
      <c r="D189" s="5">
        <v>1</v>
      </c>
      <c r="E189" s="6">
        <v>10870.01</v>
      </c>
      <c r="F189" s="16">
        <f t="shared" si="68"/>
        <v>10870.01</v>
      </c>
      <c r="G189" s="44">
        <v>2.5216535554500982E-4</v>
      </c>
      <c r="H189" s="57"/>
      <c r="I189" s="4" t="s">
        <v>76</v>
      </c>
      <c r="J189" s="71">
        <f t="shared" si="82"/>
        <v>0</v>
      </c>
      <c r="K189" s="71">
        <v>0</v>
      </c>
      <c r="L189" s="71">
        <f t="shared" si="83"/>
        <v>0</v>
      </c>
      <c r="M189" s="71">
        <f t="shared" si="84"/>
        <v>0</v>
      </c>
      <c r="N189" s="77">
        <f t="shared" si="85"/>
        <v>0</v>
      </c>
      <c r="O189" s="17"/>
    </row>
    <row r="190" spans="1:15" x14ac:dyDescent="0.55000000000000004">
      <c r="A190" s="9"/>
      <c r="B190" s="10" t="s">
        <v>82</v>
      </c>
      <c r="C190" s="4" t="s">
        <v>76</v>
      </c>
      <c r="D190" s="5">
        <v>5</v>
      </c>
      <c r="E190" s="6">
        <v>15566.920000000002</v>
      </c>
      <c r="F190" s="16">
        <f t="shared" si="68"/>
        <v>77834.600000000006</v>
      </c>
      <c r="G190" s="44">
        <v>1.8056275553291691E-3</v>
      </c>
      <c r="H190" s="57"/>
      <c r="I190" s="4" t="s">
        <v>76</v>
      </c>
      <c r="J190" s="71">
        <f t="shared" si="82"/>
        <v>0</v>
      </c>
      <c r="K190" s="71">
        <v>0</v>
      </c>
      <c r="L190" s="71">
        <f t="shared" si="83"/>
        <v>0</v>
      </c>
      <c r="M190" s="71">
        <f t="shared" si="84"/>
        <v>0</v>
      </c>
      <c r="N190" s="77">
        <f t="shared" si="85"/>
        <v>0</v>
      </c>
      <c r="O190" s="17"/>
    </row>
    <row r="191" spans="1:15" x14ac:dyDescent="0.55000000000000004">
      <c r="A191" s="9"/>
      <c r="B191" s="10" t="s">
        <v>83</v>
      </c>
      <c r="C191" s="4" t="s">
        <v>76</v>
      </c>
      <c r="D191" s="5">
        <v>1</v>
      </c>
      <c r="E191" s="6">
        <v>27039.769999999997</v>
      </c>
      <c r="F191" s="16">
        <f t="shared" si="68"/>
        <v>27039.769999999997</v>
      </c>
      <c r="G191" s="44">
        <v>6.2727570774132578E-4</v>
      </c>
      <c r="H191" s="57"/>
      <c r="I191" s="4" t="s">
        <v>76</v>
      </c>
      <c r="J191" s="71">
        <f t="shared" si="82"/>
        <v>0</v>
      </c>
      <c r="K191" s="71">
        <v>0</v>
      </c>
      <c r="L191" s="71">
        <f t="shared" si="83"/>
        <v>0</v>
      </c>
      <c r="M191" s="71">
        <f t="shared" si="84"/>
        <v>0</v>
      </c>
      <c r="N191" s="77">
        <f t="shared" si="85"/>
        <v>0</v>
      </c>
      <c r="O191" s="17"/>
    </row>
    <row r="192" spans="1:15" x14ac:dyDescent="0.55000000000000004">
      <c r="A192" s="9"/>
      <c r="B192" s="10" t="s">
        <v>84</v>
      </c>
      <c r="C192" s="4" t="s">
        <v>76</v>
      </c>
      <c r="D192" s="5">
        <v>12</v>
      </c>
      <c r="E192" s="6">
        <v>27039.77</v>
      </c>
      <c r="F192" s="16">
        <f t="shared" si="68"/>
        <v>324477.24</v>
      </c>
      <c r="G192" s="44">
        <v>7.5273084928959098E-3</v>
      </c>
      <c r="H192" s="57"/>
      <c r="I192" s="4" t="s">
        <v>76</v>
      </c>
      <c r="J192" s="71">
        <f t="shared" si="82"/>
        <v>0</v>
      </c>
      <c r="K192" s="71">
        <v>0</v>
      </c>
      <c r="L192" s="71">
        <f t="shared" si="83"/>
        <v>0</v>
      </c>
      <c r="M192" s="71">
        <f t="shared" si="84"/>
        <v>0</v>
      </c>
      <c r="N192" s="77">
        <f t="shared" si="85"/>
        <v>0</v>
      </c>
      <c r="O192" s="17"/>
    </row>
    <row r="193" spans="1:15" x14ac:dyDescent="0.55000000000000004">
      <c r="A193" s="9"/>
      <c r="B193" s="10"/>
      <c r="C193" s="4"/>
      <c r="D193" s="5"/>
      <c r="E193" s="6"/>
      <c r="F193" s="16"/>
      <c r="G193" s="44"/>
      <c r="H193" s="57"/>
      <c r="I193" s="4"/>
      <c r="J193" s="71"/>
      <c r="K193" s="14"/>
      <c r="L193" s="71"/>
      <c r="M193" s="71"/>
      <c r="N193" s="77"/>
      <c r="O193" s="17"/>
    </row>
    <row r="194" spans="1:15" x14ac:dyDescent="0.55000000000000004">
      <c r="A194" s="9"/>
      <c r="B194" s="10" t="s">
        <v>85</v>
      </c>
      <c r="C194" s="4"/>
      <c r="D194" s="5"/>
      <c r="E194" s="6"/>
      <c r="F194" s="16"/>
      <c r="G194" s="44"/>
      <c r="H194" s="57"/>
      <c r="I194" s="4"/>
      <c r="J194" s="71"/>
      <c r="K194" s="14"/>
      <c r="L194" s="71"/>
      <c r="M194" s="71"/>
      <c r="N194" s="77"/>
      <c r="O194" s="17"/>
    </row>
    <row r="195" spans="1:15" x14ac:dyDescent="0.55000000000000004">
      <c r="A195" s="9"/>
      <c r="B195" s="10" t="s">
        <v>75</v>
      </c>
      <c r="C195" s="4" t="s">
        <v>76</v>
      </c>
      <c r="D195" s="5">
        <v>27</v>
      </c>
      <c r="E195" s="6">
        <v>433.57</v>
      </c>
      <c r="F195" s="16">
        <f t="shared" si="68"/>
        <v>11706.39</v>
      </c>
      <c r="G195" s="44">
        <v>2.7156791911861603E-4</v>
      </c>
      <c r="H195" s="57"/>
      <c r="I195" s="4" t="s">
        <v>76</v>
      </c>
      <c r="J195" s="71">
        <f t="shared" ref="J195:J203" si="86">H195*E195</f>
        <v>0</v>
      </c>
      <c r="K195" s="71">
        <v>0</v>
      </c>
      <c r="L195" s="71">
        <f t="shared" ref="L195:L203" si="87">H195*J195</f>
        <v>0</v>
      </c>
      <c r="M195" s="71">
        <f t="shared" ref="M195:M203" si="88">K195+L195</f>
        <v>0</v>
      </c>
      <c r="N195" s="77">
        <f t="shared" ref="N195:N203" si="89">M195/43106674.89</f>
        <v>0</v>
      </c>
      <c r="O195" s="17"/>
    </row>
    <row r="196" spans="1:15" x14ac:dyDescent="0.55000000000000004">
      <c r="A196" s="9"/>
      <c r="B196" s="10" t="s">
        <v>77</v>
      </c>
      <c r="C196" s="4" t="s">
        <v>76</v>
      </c>
      <c r="D196" s="5">
        <v>21</v>
      </c>
      <c r="E196" s="6">
        <v>441.82999999999993</v>
      </c>
      <c r="F196" s="16">
        <f t="shared" si="68"/>
        <v>9278.4299999999985</v>
      </c>
      <c r="G196" s="44">
        <v>2.152434634236293E-4</v>
      </c>
      <c r="H196" s="57"/>
      <c r="I196" s="4" t="s">
        <v>76</v>
      </c>
      <c r="J196" s="71">
        <f t="shared" si="86"/>
        <v>0</v>
      </c>
      <c r="K196" s="71">
        <v>0</v>
      </c>
      <c r="L196" s="71">
        <f t="shared" si="87"/>
        <v>0</v>
      </c>
      <c r="M196" s="71">
        <f t="shared" si="88"/>
        <v>0</v>
      </c>
      <c r="N196" s="77">
        <f t="shared" si="89"/>
        <v>0</v>
      </c>
      <c r="O196" s="17"/>
    </row>
    <row r="197" spans="1:15" x14ac:dyDescent="0.55000000000000004">
      <c r="A197" s="9"/>
      <c r="B197" s="10" t="s">
        <v>78</v>
      </c>
      <c r="C197" s="4" t="s">
        <v>76</v>
      </c>
      <c r="D197" s="5">
        <v>30</v>
      </c>
      <c r="E197" s="6">
        <v>516.15</v>
      </c>
      <c r="F197" s="16">
        <f t="shared" si="68"/>
        <v>15484.5</v>
      </c>
      <c r="G197" s="44">
        <v>3.5921351019333966E-4</v>
      </c>
      <c r="H197" s="57"/>
      <c r="I197" s="4" t="s">
        <v>76</v>
      </c>
      <c r="J197" s="71">
        <f t="shared" si="86"/>
        <v>0</v>
      </c>
      <c r="K197" s="71">
        <v>0</v>
      </c>
      <c r="L197" s="71">
        <f t="shared" si="87"/>
        <v>0</v>
      </c>
      <c r="M197" s="71">
        <f t="shared" si="88"/>
        <v>0</v>
      </c>
      <c r="N197" s="77">
        <f t="shared" si="89"/>
        <v>0</v>
      </c>
      <c r="O197" s="17"/>
    </row>
    <row r="198" spans="1:15" x14ac:dyDescent="0.55000000000000004">
      <c r="A198" s="9"/>
      <c r="B198" s="10" t="s">
        <v>79</v>
      </c>
      <c r="C198" s="4" t="s">
        <v>76</v>
      </c>
      <c r="D198" s="5">
        <v>24</v>
      </c>
      <c r="E198" s="6">
        <v>629.71</v>
      </c>
      <c r="F198" s="16">
        <f t="shared" si="68"/>
        <v>15113.04</v>
      </c>
      <c r="G198" s="44">
        <v>3.5059628325695701E-4</v>
      </c>
      <c r="H198" s="57"/>
      <c r="I198" s="4" t="s">
        <v>76</v>
      </c>
      <c r="J198" s="71">
        <f t="shared" si="86"/>
        <v>0</v>
      </c>
      <c r="K198" s="71">
        <v>0</v>
      </c>
      <c r="L198" s="71">
        <f t="shared" si="87"/>
        <v>0</v>
      </c>
      <c r="M198" s="71">
        <f t="shared" si="88"/>
        <v>0</v>
      </c>
      <c r="N198" s="77">
        <f t="shared" si="89"/>
        <v>0</v>
      </c>
      <c r="O198" s="17"/>
    </row>
    <row r="199" spans="1:15" x14ac:dyDescent="0.55000000000000004">
      <c r="A199" s="9"/>
      <c r="B199" s="10" t="s">
        <v>80</v>
      </c>
      <c r="C199" s="4" t="s">
        <v>76</v>
      </c>
      <c r="D199" s="5">
        <v>26</v>
      </c>
      <c r="E199" s="6">
        <v>708.16</v>
      </c>
      <c r="F199" s="16">
        <f t="shared" si="68"/>
        <v>18412.16</v>
      </c>
      <c r="G199" s="44">
        <v>4.2713013812789569E-4</v>
      </c>
      <c r="H199" s="57"/>
      <c r="I199" s="4" t="s">
        <v>76</v>
      </c>
      <c r="J199" s="71">
        <f t="shared" si="86"/>
        <v>0</v>
      </c>
      <c r="K199" s="71">
        <v>0</v>
      </c>
      <c r="L199" s="71">
        <f t="shared" si="87"/>
        <v>0</v>
      </c>
      <c r="M199" s="71">
        <f t="shared" si="88"/>
        <v>0</v>
      </c>
      <c r="N199" s="77">
        <f t="shared" si="89"/>
        <v>0</v>
      </c>
      <c r="O199" s="17"/>
    </row>
    <row r="200" spans="1:15" x14ac:dyDescent="0.55000000000000004">
      <c r="A200" s="9"/>
      <c r="B200" s="10" t="s">
        <v>81</v>
      </c>
      <c r="C200" s="4" t="s">
        <v>76</v>
      </c>
      <c r="D200" s="5">
        <v>2</v>
      </c>
      <c r="E200" s="6">
        <v>784.55</v>
      </c>
      <c r="F200" s="16">
        <f t="shared" si="68"/>
        <v>1569.1</v>
      </c>
      <c r="G200" s="44">
        <v>3.640039515931217E-5</v>
      </c>
      <c r="H200" s="57"/>
      <c r="I200" s="4" t="s">
        <v>76</v>
      </c>
      <c r="J200" s="71">
        <f t="shared" si="86"/>
        <v>0</v>
      </c>
      <c r="K200" s="71">
        <v>0</v>
      </c>
      <c r="L200" s="71">
        <f t="shared" si="87"/>
        <v>0</v>
      </c>
      <c r="M200" s="71">
        <f t="shared" si="88"/>
        <v>0</v>
      </c>
      <c r="N200" s="77">
        <f t="shared" si="89"/>
        <v>0</v>
      </c>
      <c r="O200" s="17"/>
    </row>
    <row r="201" spans="1:15" x14ac:dyDescent="0.55000000000000004">
      <c r="A201" s="9"/>
      <c r="B201" s="10" t="s">
        <v>82</v>
      </c>
      <c r="C201" s="4" t="s">
        <v>76</v>
      </c>
      <c r="D201" s="5">
        <v>9</v>
      </c>
      <c r="E201" s="6">
        <v>846.49</v>
      </c>
      <c r="F201" s="16">
        <f t="shared" si="68"/>
        <v>7618.41</v>
      </c>
      <c r="G201" s="44">
        <v>1.7673388215260687E-4</v>
      </c>
      <c r="H201" s="57"/>
      <c r="I201" s="4" t="s">
        <v>76</v>
      </c>
      <c r="J201" s="71">
        <f t="shared" si="86"/>
        <v>0</v>
      </c>
      <c r="K201" s="71">
        <v>0</v>
      </c>
      <c r="L201" s="71">
        <f t="shared" si="87"/>
        <v>0</v>
      </c>
      <c r="M201" s="71">
        <f t="shared" si="88"/>
        <v>0</v>
      </c>
      <c r="N201" s="77">
        <f t="shared" si="89"/>
        <v>0</v>
      </c>
      <c r="O201" s="17"/>
    </row>
    <row r="202" spans="1:15" x14ac:dyDescent="0.55000000000000004">
      <c r="A202" s="9"/>
      <c r="B202" s="10" t="s">
        <v>83</v>
      </c>
      <c r="C202" s="4" t="s">
        <v>76</v>
      </c>
      <c r="D202" s="5">
        <v>2</v>
      </c>
      <c r="E202" s="6">
        <v>1011.6600000000001</v>
      </c>
      <c r="F202" s="16">
        <f t="shared" si="68"/>
        <v>2023.3200000000002</v>
      </c>
      <c r="G202" s="44">
        <v>4.6937510377757636E-5</v>
      </c>
      <c r="H202" s="57"/>
      <c r="I202" s="4" t="s">
        <v>76</v>
      </c>
      <c r="J202" s="71">
        <f t="shared" si="86"/>
        <v>0</v>
      </c>
      <c r="K202" s="71">
        <v>0</v>
      </c>
      <c r="L202" s="71">
        <f t="shared" si="87"/>
        <v>0</v>
      </c>
      <c r="M202" s="71">
        <f t="shared" si="88"/>
        <v>0</v>
      </c>
      <c r="N202" s="77">
        <f t="shared" si="89"/>
        <v>0</v>
      </c>
      <c r="O202" s="17"/>
    </row>
    <row r="203" spans="1:15" x14ac:dyDescent="0.55000000000000004">
      <c r="A203" s="9"/>
      <c r="B203" s="10" t="s">
        <v>84</v>
      </c>
      <c r="C203" s="4" t="s">
        <v>76</v>
      </c>
      <c r="D203" s="5">
        <v>24</v>
      </c>
      <c r="E203" s="6">
        <v>1011.66</v>
      </c>
      <c r="F203" s="16">
        <f t="shared" si="68"/>
        <v>24279.84</v>
      </c>
      <c r="G203" s="44">
        <v>5.6325012453309158E-4</v>
      </c>
      <c r="H203" s="57"/>
      <c r="I203" s="4" t="s">
        <v>76</v>
      </c>
      <c r="J203" s="71">
        <f t="shared" si="86"/>
        <v>0</v>
      </c>
      <c r="K203" s="71">
        <v>0</v>
      </c>
      <c r="L203" s="71">
        <f t="shared" si="87"/>
        <v>0</v>
      </c>
      <c r="M203" s="71">
        <f t="shared" si="88"/>
        <v>0</v>
      </c>
      <c r="N203" s="77">
        <f t="shared" si="89"/>
        <v>0</v>
      </c>
      <c r="O203" s="17"/>
    </row>
    <row r="204" spans="1:15" x14ac:dyDescent="0.55000000000000004">
      <c r="A204" s="9"/>
      <c r="B204" s="10"/>
      <c r="C204" s="4"/>
      <c r="D204" s="5"/>
      <c r="E204" s="6"/>
      <c r="F204" s="16"/>
      <c r="G204" s="44"/>
      <c r="H204" s="57"/>
      <c r="I204" s="4"/>
      <c r="J204" s="71"/>
      <c r="K204" s="14"/>
      <c r="L204" s="71"/>
      <c r="M204" s="71"/>
      <c r="N204" s="77"/>
      <c r="O204" s="17"/>
    </row>
    <row r="205" spans="1:15" x14ac:dyDescent="0.55000000000000004">
      <c r="A205" s="9"/>
      <c r="B205" s="10" t="s">
        <v>86</v>
      </c>
      <c r="C205" s="4" t="s">
        <v>5</v>
      </c>
      <c r="D205" s="5">
        <v>1</v>
      </c>
      <c r="E205" s="6">
        <v>87733.459999999992</v>
      </c>
      <c r="F205" s="16">
        <f t="shared" si="68"/>
        <v>87733.459999999992</v>
      </c>
      <c r="G205" s="44">
        <v>2.0352639173371405E-3</v>
      </c>
      <c r="H205" s="57">
        <v>1</v>
      </c>
      <c r="I205" s="4" t="s">
        <v>5</v>
      </c>
      <c r="J205" s="71"/>
      <c r="K205" s="71">
        <v>0</v>
      </c>
      <c r="L205" s="71">
        <f t="shared" ref="L205" si="90">H205*J205</f>
        <v>0</v>
      </c>
      <c r="M205" s="71">
        <f t="shared" ref="M205" si="91">K205+L205</f>
        <v>0</v>
      </c>
      <c r="N205" s="77">
        <f t="shared" ref="N205" si="92">M205/43106674.89</f>
        <v>0</v>
      </c>
      <c r="O205" s="17"/>
    </row>
    <row r="206" spans="1:15" x14ac:dyDescent="0.55000000000000004">
      <c r="A206" s="9"/>
      <c r="B206" s="10"/>
      <c r="C206" s="4"/>
      <c r="D206" s="5"/>
      <c r="E206" s="6"/>
      <c r="F206" s="16"/>
      <c r="G206" s="44"/>
      <c r="H206" s="57"/>
      <c r="I206" s="4"/>
      <c r="J206" s="71"/>
      <c r="K206" s="14"/>
      <c r="L206" s="71"/>
      <c r="M206" s="71"/>
      <c r="N206" s="77"/>
      <c r="O206" s="17"/>
    </row>
    <row r="207" spans="1:15" x14ac:dyDescent="0.55000000000000004">
      <c r="A207" s="9"/>
      <c r="B207" s="10" t="s">
        <v>87</v>
      </c>
      <c r="C207" s="4" t="s">
        <v>88</v>
      </c>
      <c r="D207" s="5">
        <v>26</v>
      </c>
      <c r="E207" s="6">
        <v>3207.48</v>
      </c>
      <c r="F207" s="16">
        <f t="shared" si="68"/>
        <v>83394.48</v>
      </c>
      <c r="G207" s="44">
        <v>1.9346071162483942E-3</v>
      </c>
      <c r="H207" s="57"/>
      <c r="I207" s="4" t="s">
        <v>88</v>
      </c>
      <c r="J207" s="71">
        <f t="shared" ref="J207" si="93">H207*E207</f>
        <v>0</v>
      </c>
      <c r="K207" s="71">
        <v>0</v>
      </c>
      <c r="L207" s="71">
        <f t="shared" ref="L207" si="94">H207*J207</f>
        <v>0</v>
      </c>
      <c r="M207" s="71">
        <f t="shared" ref="M207" si="95">K207+L207</f>
        <v>0</v>
      </c>
      <c r="N207" s="77">
        <f t="shared" ref="N207" si="96">M207/43106674.89</f>
        <v>0</v>
      </c>
      <c r="O207" s="17"/>
    </row>
    <row r="208" spans="1:15" x14ac:dyDescent="0.55000000000000004">
      <c r="A208" s="9"/>
      <c r="B208" s="10"/>
      <c r="C208" s="4"/>
      <c r="D208" s="5"/>
      <c r="E208" s="6"/>
      <c r="F208" s="16"/>
      <c r="G208" s="44"/>
      <c r="H208" s="57"/>
      <c r="I208" s="4"/>
      <c r="J208" s="71"/>
      <c r="K208" s="14"/>
      <c r="L208" s="71"/>
      <c r="M208" s="71"/>
      <c r="N208" s="77"/>
      <c r="O208" s="17"/>
    </row>
    <row r="209" spans="1:15" x14ac:dyDescent="0.55000000000000004">
      <c r="A209" s="9"/>
      <c r="B209" s="10" t="s">
        <v>89</v>
      </c>
      <c r="C209" s="4" t="s">
        <v>5</v>
      </c>
      <c r="D209" s="5">
        <v>1</v>
      </c>
      <c r="E209" s="6">
        <v>8234.77</v>
      </c>
      <c r="F209" s="16">
        <f t="shared" si="68"/>
        <v>8234.77</v>
      </c>
      <c r="G209" s="44">
        <v>1.910323638047601E-4</v>
      </c>
      <c r="H209" s="57">
        <v>1</v>
      </c>
      <c r="I209" s="4" t="s">
        <v>5</v>
      </c>
      <c r="J209" s="71"/>
      <c r="K209" s="71">
        <v>0</v>
      </c>
      <c r="L209" s="71">
        <f t="shared" ref="L209" si="97">H209*J209</f>
        <v>0</v>
      </c>
      <c r="M209" s="71">
        <f t="shared" ref="M209" si="98">K209+L209</f>
        <v>0</v>
      </c>
      <c r="N209" s="77">
        <f t="shared" ref="N209" si="99">M209/43106674.89</f>
        <v>0</v>
      </c>
      <c r="O209" s="17"/>
    </row>
    <row r="210" spans="1:15" x14ac:dyDescent="0.55000000000000004">
      <c r="A210" s="9"/>
      <c r="B210" s="10"/>
      <c r="C210" s="4"/>
      <c r="D210" s="5"/>
      <c r="E210" s="6"/>
      <c r="F210" s="16"/>
      <c r="G210" s="44"/>
      <c r="H210" s="57"/>
      <c r="I210" s="4"/>
      <c r="J210" s="71"/>
      <c r="K210" s="14"/>
      <c r="L210" s="71"/>
      <c r="M210" s="71"/>
      <c r="N210" s="77"/>
      <c r="O210" s="17"/>
    </row>
    <row r="211" spans="1:15" x14ac:dyDescent="0.55000000000000004">
      <c r="A211" s="9"/>
      <c r="B211" s="10" t="s">
        <v>90</v>
      </c>
      <c r="C211" s="4" t="s">
        <v>91</v>
      </c>
      <c r="D211" s="5">
        <v>3</v>
      </c>
      <c r="E211" s="6">
        <v>9622.41</v>
      </c>
      <c r="F211" s="16">
        <f t="shared" si="68"/>
        <v>28867.23</v>
      </c>
      <c r="G211" s="44">
        <v>6.696696062422733E-4</v>
      </c>
      <c r="H211" s="57"/>
      <c r="I211" s="4" t="s">
        <v>91</v>
      </c>
      <c r="J211" s="71">
        <f t="shared" ref="J211" si="100">H211*E211</f>
        <v>0</v>
      </c>
      <c r="K211" s="71">
        <v>0</v>
      </c>
      <c r="L211" s="71">
        <f t="shared" ref="L211" si="101">H211*J211</f>
        <v>0</v>
      </c>
      <c r="M211" s="71">
        <f t="shared" ref="M211" si="102">K211+L211</f>
        <v>0</v>
      </c>
      <c r="N211" s="77">
        <f t="shared" ref="N211" si="103">M211/43106674.89</f>
        <v>0</v>
      </c>
      <c r="O211" s="17"/>
    </row>
    <row r="212" spans="1:15" x14ac:dyDescent="0.55000000000000004">
      <c r="A212" s="9"/>
      <c r="B212" s="10"/>
      <c r="C212" s="4"/>
      <c r="D212" s="5"/>
      <c r="E212" s="6"/>
      <c r="F212" s="16"/>
      <c r="G212" s="44"/>
      <c r="H212" s="57"/>
      <c r="I212" s="4"/>
      <c r="J212" s="71"/>
      <c r="K212" s="14"/>
      <c r="L212" s="71"/>
      <c r="M212" s="71"/>
      <c r="N212" s="77"/>
      <c r="O212" s="17"/>
    </row>
    <row r="213" spans="1:15" x14ac:dyDescent="0.55000000000000004">
      <c r="A213" s="9"/>
      <c r="B213" s="10" t="s">
        <v>92</v>
      </c>
      <c r="C213" s="4"/>
      <c r="D213" s="5"/>
      <c r="E213" s="6"/>
      <c r="F213" s="16"/>
      <c r="G213" s="44"/>
      <c r="H213" s="57"/>
      <c r="I213" s="4"/>
      <c r="J213" s="71"/>
      <c r="K213" s="14"/>
      <c r="L213" s="71"/>
      <c r="M213" s="71"/>
      <c r="N213" s="77"/>
      <c r="O213" s="17"/>
    </row>
    <row r="214" spans="1:15" x14ac:dyDescent="0.55000000000000004">
      <c r="A214" s="9"/>
      <c r="B214" s="10" t="s">
        <v>93</v>
      </c>
      <c r="C214" s="4" t="s">
        <v>76</v>
      </c>
      <c r="D214" s="5">
        <v>37</v>
      </c>
      <c r="E214" s="6">
        <v>404.15</v>
      </c>
      <c r="F214" s="16">
        <f t="shared" si="68"/>
        <v>14953.55</v>
      </c>
      <c r="G214" s="44">
        <v>3.4689639222135774E-4</v>
      </c>
      <c r="H214" s="57"/>
      <c r="I214" s="4" t="s">
        <v>76</v>
      </c>
      <c r="J214" s="71">
        <f t="shared" ref="J214:J215" si="104">H214*E214</f>
        <v>0</v>
      </c>
      <c r="K214" s="71">
        <v>0</v>
      </c>
      <c r="L214" s="71">
        <f t="shared" ref="L214:L215" si="105">H214*J214</f>
        <v>0</v>
      </c>
      <c r="M214" s="71">
        <f t="shared" ref="M214:M215" si="106">K214+L214</f>
        <v>0</v>
      </c>
      <c r="N214" s="77">
        <f t="shared" ref="N214:N215" si="107">M214/43106674.89</f>
        <v>0</v>
      </c>
      <c r="O214" s="17"/>
    </row>
    <row r="215" spans="1:15" x14ac:dyDescent="0.55000000000000004">
      <c r="A215" s="9"/>
      <c r="B215" s="10" t="s">
        <v>94</v>
      </c>
      <c r="C215" s="4" t="s">
        <v>76</v>
      </c>
      <c r="D215" s="5">
        <v>24</v>
      </c>
      <c r="E215" s="6">
        <v>641.82999999999993</v>
      </c>
      <c r="F215" s="16">
        <f t="shared" si="68"/>
        <v>15403.919999999998</v>
      </c>
      <c r="G215" s="44">
        <v>3.5734419412556995E-4</v>
      </c>
      <c r="H215" s="57"/>
      <c r="I215" s="4" t="s">
        <v>76</v>
      </c>
      <c r="J215" s="71">
        <f t="shared" si="104"/>
        <v>0</v>
      </c>
      <c r="K215" s="71">
        <v>0</v>
      </c>
      <c r="L215" s="71">
        <f t="shared" si="105"/>
        <v>0</v>
      </c>
      <c r="M215" s="71">
        <f t="shared" si="106"/>
        <v>0</v>
      </c>
      <c r="N215" s="77">
        <f t="shared" si="107"/>
        <v>0</v>
      </c>
      <c r="O215" s="17"/>
    </row>
    <row r="216" spans="1:15" x14ac:dyDescent="0.55000000000000004">
      <c r="A216" s="9"/>
      <c r="B216" s="10"/>
      <c r="C216" s="4"/>
      <c r="D216" s="5"/>
      <c r="E216" s="6"/>
      <c r="F216" s="16"/>
      <c r="G216" s="44"/>
      <c r="H216" s="57"/>
      <c r="I216" s="4"/>
      <c r="J216" s="71"/>
      <c r="K216" s="14"/>
      <c r="L216" s="71"/>
      <c r="M216" s="71"/>
      <c r="N216" s="77"/>
      <c r="O216" s="17"/>
    </row>
    <row r="217" spans="1:15" x14ac:dyDescent="0.55000000000000004">
      <c r="A217" s="9"/>
      <c r="B217" s="10" t="s">
        <v>95</v>
      </c>
      <c r="C217" s="4"/>
      <c r="D217" s="5"/>
      <c r="E217" s="6"/>
      <c r="F217" s="16"/>
      <c r="G217" s="44"/>
      <c r="H217" s="57"/>
      <c r="I217" s="4"/>
      <c r="J217" s="71"/>
      <c r="K217" s="14"/>
      <c r="L217" s="71"/>
      <c r="M217" s="71"/>
      <c r="N217" s="77"/>
      <c r="O217" s="17"/>
    </row>
    <row r="218" spans="1:15" x14ac:dyDescent="0.55000000000000004">
      <c r="A218" s="9"/>
      <c r="B218" s="10" t="s">
        <v>96</v>
      </c>
      <c r="C218" s="4" t="s">
        <v>76</v>
      </c>
      <c r="D218" s="5">
        <v>74</v>
      </c>
      <c r="E218" s="6">
        <v>427.66999999999996</v>
      </c>
      <c r="F218" s="16">
        <f t="shared" si="68"/>
        <v>31647.579999999998</v>
      </c>
      <c r="G218" s="44">
        <v>7.3416889798989522E-4</v>
      </c>
      <c r="H218" s="57"/>
      <c r="I218" s="4" t="s">
        <v>76</v>
      </c>
      <c r="J218" s="71">
        <f t="shared" ref="J218:J219" si="108">H218*E218</f>
        <v>0</v>
      </c>
      <c r="K218" s="71">
        <v>0</v>
      </c>
      <c r="L218" s="71">
        <f t="shared" ref="L218:L219" si="109">H218*J218</f>
        <v>0</v>
      </c>
      <c r="M218" s="71">
        <f t="shared" ref="M218:M219" si="110">K218+L218</f>
        <v>0</v>
      </c>
      <c r="N218" s="77">
        <f t="shared" ref="N218:N219" si="111">M218/43106674.89</f>
        <v>0</v>
      </c>
      <c r="O218" s="17"/>
    </row>
    <row r="219" spans="1:15" x14ac:dyDescent="0.55000000000000004">
      <c r="A219" s="9"/>
      <c r="B219" s="10" t="s">
        <v>97</v>
      </c>
      <c r="C219" s="4" t="s">
        <v>76</v>
      </c>
      <c r="D219" s="5">
        <v>48</v>
      </c>
      <c r="E219" s="6">
        <v>812.56999999999982</v>
      </c>
      <c r="F219" s="16">
        <f t="shared" ref="F219:F280" si="112">D219*E219</f>
        <v>39003.359999999993</v>
      </c>
      <c r="G219" s="44">
        <v>9.0481022021598979E-4</v>
      </c>
      <c r="H219" s="57"/>
      <c r="I219" s="4" t="s">
        <v>76</v>
      </c>
      <c r="J219" s="71">
        <f t="shared" si="108"/>
        <v>0</v>
      </c>
      <c r="K219" s="71">
        <v>0</v>
      </c>
      <c r="L219" s="71">
        <f t="shared" si="109"/>
        <v>0</v>
      </c>
      <c r="M219" s="71">
        <f t="shared" si="110"/>
        <v>0</v>
      </c>
      <c r="N219" s="77">
        <f t="shared" si="111"/>
        <v>0</v>
      </c>
      <c r="O219" s="17"/>
    </row>
    <row r="220" spans="1:15" x14ac:dyDescent="0.55000000000000004">
      <c r="A220" s="9"/>
      <c r="B220" s="10"/>
      <c r="C220" s="4"/>
      <c r="D220" s="5"/>
      <c r="E220" s="6"/>
      <c r="F220" s="16"/>
      <c r="G220" s="44"/>
      <c r="H220" s="57"/>
      <c r="I220" s="4"/>
      <c r="J220" s="71"/>
      <c r="K220" s="14"/>
      <c r="L220" s="71"/>
      <c r="M220" s="71"/>
      <c r="N220" s="77"/>
      <c r="O220" s="17"/>
    </row>
    <row r="221" spans="1:15" x14ac:dyDescent="0.55000000000000004">
      <c r="A221" s="9"/>
      <c r="B221" s="10" t="s">
        <v>98</v>
      </c>
      <c r="C221" s="4"/>
      <c r="D221" s="5"/>
      <c r="E221" s="6"/>
      <c r="F221" s="16"/>
      <c r="G221" s="44"/>
      <c r="H221" s="57"/>
      <c r="I221" s="4"/>
      <c r="J221" s="71"/>
      <c r="K221" s="14"/>
      <c r="L221" s="71"/>
      <c r="M221" s="71"/>
      <c r="N221" s="77"/>
      <c r="O221" s="17"/>
    </row>
    <row r="222" spans="1:15" x14ac:dyDescent="0.55000000000000004">
      <c r="A222" s="9"/>
      <c r="B222" s="10" t="s">
        <v>99</v>
      </c>
      <c r="C222" s="4" t="s">
        <v>91</v>
      </c>
      <c r="D222" s="5">
        <v>12</v>
      </c>
      <c r="E222" s="6">
        <v>30473.16</v>
      </c>
      <c r="F222" s="16">
        <f t="shared" si="112"/>
        <v>365677.92</v>
      </c>
      <c r="G222" s="44">
        <v>8.4830927213277313E-3</v>
      </c>
      <c r="H222" s="57"/>
      <c r="I222" s="4" t="s">
        <v>91</v>
      </c>
      <c r="J222" s="71">
        <f t="shared" ref="J222" si="113">H222*E222</f>
        <v>0</v>
      </c>
      <c r="K222" s="71">
        <v>0</v>
      </c>
      <c r="L222" s="71">
        <f t="shared" ref="L222" si="114">H222*J222</f>
        <v>0</v>
      </c>
      <c r="M222" s="71">
        <f t="shared" ref="M222" si="115">K222+L222</f>
        <v>0</v>
      </c>
      <c r="N222" s="77">
        <f t="shared" ref="N222" si="116">M222/43106674.89</f>
        <v>0</v>
      </c>
      <c r="O222" s="17"/>
    </row>
    <row r="223" spans="1:15" x14ac:dyDescent="0.55000000000000004">
      <c r="A223" s="9"/>
      <c r="B223" s="10"/>
      <c r="C223" s="4"/>
      <c r="D223" s="5"/>
      <c r="E223" s="6"/>
      <c r="F223" s="16"/>
      <c r="G223" s="44"/>
      <c r="H223" s="57"/>
      <c r="I223" s="4"/>
      <c r="J223" s="71"/>
      <c r="K223" s="14"/>
      <c r="L223" s="71"/>
      <c r="M223" s="71"/>
      <c r="N223" s="77"/>
      <c r="O223" s="17"/>
    </row>
    <row r="224" spans="1:15" x14ac:dyDescent="0.55000000000000004">
      <c r="A224" s="9"/>
      <c r="B224" s="10" t="s">
        <v>100</v>
      </c>
      <c r="C224" s="4"/>
      <c r="D224" s="5"/>
      <c r="E224" s="6"/>
      <c r="F224" s="16"/>
      <c r="G224" s="44"/>
      <c r="H224" s="57"/>
      <c r="I224" s="4"/>
      <c r="J224" s="71"/>
      <c r="K224" s="14"/>
      <c r="L224" s="71"/>
      <c r="M224" s="71"/>
      <c r="N224" s="77"/>
      <c r="O224" s="17"/>
    </row>
    <row r="225" spans="1:15" x14ac:dyDescent="0.55000000000000004">
      <c r="A225" s="9"/>
      <c r="B225" s="10" t="s">
        <v>155</v>
      </c>
      <c r="C225" s="4" t="s">
        <v>91</v>
      </c>
      <c r="D225" s="5">
        <v>3</v>
      </c>
      <c r="E225" s="6">
        <v>213.84</v>
      </c>
      <c r="F225" s="16">
        <f t="shared" si="112"/>
        <v>641.52</v>
      </c>
      <c r="G225" s="44">
        <v>1.4882149960233217E-5</v>
      </c>
      <c r="H225" s="57"/>
      <c r="I225" s="4" t="s">
        <v>91</v>
      </c>
      <c r="J225" s="71">
        <f t="shared" ref="J225:J229" si="117">H225*E225</f>
        <v>0</v>
      </c>
      <c r="K225" s="71">
        <v>0</v>
      </c>
      <c r="L225" s="71">
        <f t="shared" ref="L225:L229" si="118">H225*J225</f>
        <v>0</v>
      </c>
      <c r="M225" s="71">
        <f t="shared" ref="M225:M229" si="119">K225+L225</f>
        <v>0</v>
      </c>
      <c r="N225" s="77">
        <f t="shared" ref="N225:N229" si="120">M225/43106674.89</f>
        <v>0</v>
      </c>
      <c r="O225" s="17"/>
    </row>
    <row r="226" spans="1:15" x14ac:dyDescent="0.55000000000000004">
      <c r="A226" s="9"/>
      <c r="B226" s="10" t="s">
        <v>101</v>
      </c>
      <c r="C226" s="4" t="s">
        <v>91</v>
      </c>
      <c r="D226" s="5">
        <v>13</v>
      </c>
      <c r="E226" s="6">
        <v>192.45999999999998</v>
      </c>
      <c r="F226" s="16">
        <f t="shared" si="112"/>
        <v>2501.9799999999996</v>
      </c>
      <c r="G226" s="44">
        <v>5.8041591154608279E-5</v>
      </c>
      <c r="H226" s="57"/>
      <c r="I226" s="4" t="s">
        <v>91</v>
      </c>
      <c r="J226" s="71">
        <f t="shared" si="117"/>
        <v>0</v>
      </c>
      <c r="K226" s="71">
        <v>0</v>
      </c>
      <c r="L226" s="71">
        <f t="shared" si="118"/>
        <v>0</v>
      </c>
      <c r="M226" s="71">
        <f t="shared" si="119"/>
        <v>0</v>
      </c>
      <c r="N226" s="77">
        <f t="shared" si="120"/>
        <v>0</v>
      </c>
      <c r="O226" s="17"/>
    </row>
    <row r="227" spans="1:15" x14ac:dyDescent="0.55000000000000004">
      <c r="A227" s="9"/>
      <c r="B227" s="10" t="s">
        <v>102</v>
      </c>
      <c r="C227" s="4" t="s">
        <v>91</v>
      </c>
      <c r="D227" s="5">
        <v>3</v>
      </c>
      <c r="E227" s="6">
        <v>53.47</v>
      </c>
      <c r="F227" s="16">
        <f t="shared" si="112"/>
        <v>160.41</v>
      </c>
      <c r="G227" s="44">
        <v>3.7212334379614206E-6</v>
      </c>
      <c r="H227" s="57"/>
      <c r="I227" s="4" t="s">
        <v>91</v>
      </c>
      <c r="J227" s="71">
        <f t="shared" si="117"/>
        <v>0</v>
      </c>
      <c r="K227" s="71">
        <v>0</v>
      </c>
      <c r="L227" s="71">
        <f t="shared" si="118"/>
        <v>0</v>
      </c>
      <c r="M227" s="71">
        <f t="shared" si="119"/>
        <v>0</v>
      </c>
      <c r="N227" s="77">
        <f t="shared" si="120"/>
        <v>0</v>
      </c>
      <c r="O227" s="17"/>
    </row>
    <row r="228" spans="1:15" x14ac:dyDescent="0.55000000000000004">
      <c r="A228" s="9"/>
      <c r="B228" s="10" t="s">
        <v>104</v>
      </c>
      <c r="C228" s="4" t="s">
        <v>91</v>
      </c>
      <c r="D228" s="5">
        <v>6</v>
      </c>
      <c r="E228" s="6">
        <v>43.629999999999995</v>
      </c>
      <c r="F228" s="16">
        <f t="shared" si="112"/>
        <v>261.77999999999997</v>
      </c>
      <c r="G228" s="44">
        <v>6.0728414025904901E-6</v>
      </c>
      <c r="H228" s="57"/>
      <c r="I228" s="4" t="s">
        <v>91</v>
      </c>
      <c r="J228" s="71">
        <f t="shared" si="117"/>
        <v>0</v>
      </c>
      <c r="K228" s="71">
        <v>0</v>
      </c>
      <c r="L228" s="71">
        <f t="shared" si="118"/>
        <v>0</v>
      </c>
      <c r="M228" s="71">
        <f t="shared" si="119"/>
        <v>0</v>
      </c>
      <c r="N228" s="77">
        <f t="shared" si="120"/>
        <v>0</v>
      </c>
      <c r="O228" s="17"/>
    </row>
    <row r="229" spans="1:15" x14ac:dyDescent="0.55000000000000004">
      <c r="A229" s="9"/>
      <c r="B229" s="10" t="s">
        <v>105</v>
      </c>
      <c r="C229" s="4" t="s">
        <v>91</v>
      </c>
      <c r="D229" s="5">
        <v>4</v>
      </c>
      <c r="E229" s="6">
        <v>213.84</v>
      </c>
      <c r="F229" s="16">
        <f t="shared" si="112"/>
        <v>855.36</v>
      </c>
      <c r="G229" s="44">
        <v>1.9842866613644291E-5</v>
      </c>
      <c r="H229" s="57"/>
      <c r="I229" s="4" t="s">
        <v>91</v>
      </c>
      <c r="J229" s="71">
        <f t="shared" si="117"/>
        <v>0</v>
      </c>
      <c r="K229" s="71">
        <v>0</v>
      </c>
      <c r="L229" s="71">
        <f t="shared" si="118"/>
        <v>0</v>
      </c>
      <c r="M229" s="71">
        <f t="shared" si="119"/>
        <v>0</v>
      </c>
      <c r="N229" s="77">
        <f t="shared" si="120"/>
        <v>0</v>
      </c>
      <c r="O229" s="17"/>
    </row>
    <row r="230" spans="1:15" x14ac:dyDescent="0.55000000000000004">
      <c r="A230" s="9"/>
      <c r="B230" s="10"/>
      <c r="C230" s="4"/>
      <c r="D230" s="5"/>
      <c r="E230" s="6"/>
      <c r="F230" s="16"/>
      <c r="G230" s="44"/>
      <c r="H230" s="57"/>
      <c r="I230" s="4"/>
      <c r="J230" s="71"/>
      <c r="K230" s="14"/>
      <c r="L230" s="71"/>
      <c r="M230" s="71"/>
      <c r="N230" s="77"/>
      <c r="O230" s="17"/>
    </row>
    <row r="231" spans="1:15" x14ac:dyDescent="0.55000000000000004">
      <c r="A231" s="9"/>
      <c r="B231" s="10" t="s">
        <v>106</v>
      </c>
      <c r="C231" s="4"/>
      <c r="D231" s="5"/>
      <c r="E231" s="6"/>
      <c r="F231" s="16"/>
      <c r="G231" s="44"/>
      <c r="H231" s="57"/>
      <c r="I231" s="4"/>
      <c r="J231" s="71"/>
      <c r="K231" s="14"/>
      <c r="L231" s="71"/>
      <c r="M231" s="71"/>
      <c r="N231" s="77"/>
      <c r="O231" s="17"/>
    </row>
    <row r="232" spans="1:15" x14ac:dyDescent="0.55000000000000004">
      <c r="A232" s="9"/>
      <c r="B232" s="10" t="s">
        <v>107</v>
      </c>
      <c r="C232" s="4"/>
      <c r="D232" s="5"/>
      <c r="E232" s="6"/>
      <c r="F232" s="16"/>
      <c r="G232" s="44"/>
      <c r="H232" s="57"/>
      <c r="I232" s="4"/>
      <c r="J232" s="71"/>
      <c r="K232" s="14"/>
      <c r="L232" s="71"/>
      <c r="M232" s="71"/>
      <c r="N232" s="77"/>
      <c r="O232" s="17"/>
    </row>
    <row r="233" spans="1:15" x14ac:dyDescent="0.55000000000000004">
      <c r="A233" s="9"/>
      <c r="B233" s="10" t="s">
        <v>108</v>
      </c>
      <c r="C233" s="4" t="s">
        <v>109</v>
      </c>
      <c r="D233" s="5">
        <v>78</v>
      </c>
      <c r="E233" s="6">
        <v>404.15</v>
      </c>
      <c r="F233" s="16">
        <f t="shared" si="112"/>
        <v>31523.699999999997</v>
      </c>
      <c r="G233" s="44">
        <v>7.3129509711529473E-4</v>
      </c>
      <c r="H233" s="57"/>
      <c r="I233" s="4" t="s">
        <v>109</v>
      </c>
      <c r="J233" s="71">
        <f t="shared" ref="J233:J235" si="121">H233*E233</f>
        <v>0</v>
      </c>
      <c r="K233" s="71">
        <v>0</v>
      </c>
      <c r="L233" s="71">
        <f t="shared" ref="L233:L235" si="122">H233*J233</f>
        <v>0</v>
      </c>
      <c r="M233" s="71">
        <f t="shared" ref="M233:M235" si="123">K233+L233</f>
        <v>0</v>
      </c>
      <c r="N233" s="77">
        <f t="shared" ref="N233:N235" si="124">M233/43106674.89</f>
        <v>0</v>
      </c>
      <c r="O233" s="17"/>
    </row>
    <row r="234" spans="1:15" x14ac:dyDescent="0.55000000000000004">
      <c r="A234" s="9"/>
      <c r="B234" s="10" t="s">
        <v>156</v>
      </c>
      <c r="C234" s="4" t="s">
        <v>109</v>
      </c>
      <c r="D234" s="5">
        <v>673</v>
      </c>
      <c r="E234" s="6">
        <v>65.87</v>
      </c>
      <c r="F234" s="16">
        <f t="shared" si="112"/>
        <v>44330.51</v>
      </c>
      <c r="G234" s="44">
        <v>1.0283908492854756E-3</v>
      </c>
      <c r="H234" s="57"/>
      <c r="I234" s="4" t="s">
        <v>109</v>
      </c>
      <c r="J234" s="71">
        <f t="shared" si="121"/>
        <v>0</v>
      </c>
      <c r="K234" s="71">
        <v>0</v>
      </c>
      <c r="L234" s="71">
        <f t="shared" si="122"/>
        <v>0</v>
      </c>
      <c r="M234" s="71">
        <f t="shared" si="123"/>
        <v>0</v>
      </c>
      <c r="N234" s="77">
        <f t="shared" si="124"/>
        <v>0</v>
      </c>
      <c r="O234" s="17"/>
    </row>
    <row r="235" spans="1:15" x14ac:dyDescent="0.55000000000000004">
      <c r="A235" s="9"/>
      <c r="B235" s="10" t="s">
        <v>111</v>
      </c>
      <c r="C235" s="4" t="s">
        <v>91</v>
      </c>
      <c r="D235" s="5">
        <v>34</v>
      </c>
      <c r="E235" s="6">
        <v>32.090000000000003</v>
      </c>
      <c r="F235" s="16">
        <f t="shared" si="112"/>
        <v>1091.0600000000002</v>
      </c>
      <c r="G235" s="44">
        <v>2.5310697305792582E-5</v>
      </c>
      <c r="H235" s="57"/>
      <c r="I235" s="4" t="s">
        <v>91</v>
      </c>
      <c r="J235" s="71">
        <f t="shared" si="121"/>
        <v>0</v>
      </c>
      <c r="K235" s="71">
        <v>0</v>
      </c>
      <c r="L235" s="71">
        <f t="shared" si="122"/>
        <v>0</v>
      </c>
      <c r="M235" s="71">
        <f t="shared" si="123"/>
        <v>0</v>
      </c>
      <c r="N235" s="77">
        <f t="shared" si="124"/>
        <v>0</v>
      </c>
      <c r="O235" s="17"/>
    </row>
    <row r="236" spans="1:15" x14ac:dyDescent="0.55000000000000004">
      <c r="A236" s="9"/>
      <c r="B236" s="10" t="s">
        <v>112</v>
      </c>
      <c r="C236" s="4"/>
      <c r="D236" s="5"/>
      <c r="E236" s="6"/>
      <c r="F236" s="16"/>
      <c r="G236" s="44"/>
      <c r="H236" s="57"/>
      <c r="I236" s="4"/>
      <c r="J236" s="71"/>
      <c r="K236" s="14"/>
      <c r="L236" s="71"/>
      <c r="M236" s="71"/>
      <c r="N236" s="77"/>
      <c r="O236" s="17"/>
    </row>
    <row r="237" spans="1:15" x14ac:dyDescent="0.55000000000000004">
      <c r="A237" s="9"/>
      <c r="B237" s="10" t="s">
        <v>113</v>
      </c>
      <c r="C237" s="4" t="s">
        <v>109</v>
      </c>
      <c r="D237" s="5">
        <v>482</v>
      </c>
      <c r="E237" s="6">
        <v>80.84</v>
      </c>
      <c r="F237" s="16">
        <f t="shared" si="112"/>
        <v>38964.880000000005</v>
      </c>
      <c r="G237" s="44">
        <v>9.0391755103892658E-4</v>
      </c>
      <c r="H237" s="57"/>
      <c r="I237" s="4" t="s">
        <v>109</v>
      </c>
      <c r="J237" s="71">
        <f t="shared" ref="J237:J240" si="125">H237*E237</f>
        <v>0</v>
      </c>
      <c r="K237" s="71">
        <v>0</v>
      </c>
      <c r="L237" s="71">
        <f t="shared" ref="L237:L240" si="126">H237*J237</f>
        <v>0</v>
      </c>
      <c r="M237" s="71">
        <f t="shared" ref="M237:M240" si="127">K237+L237</f>
        <v>0</v>
      </c>
      <c r="N237" s="77">
        <f t="shared" ref="N237:N240" si="128">M237/43106674.89</f>
        <v>0</v>
      </c>
      <c r="O237" s="17"/>
    </row>
    <row r="238" spans="1:15" x14ac:dyDescent="0.55000000000000004">
      <c r="A238" s="9"/>
      <c r="B238" s="10" t="s">
        <v>114</v>
      </c>
      <c r="C238" s="4" t="s">
        <v>109</v>
      </c>
      <c r="D238" s="5">
        <v>94</v>
      </c>
      <c r="E238" s="6">
        <v>78.48</v>
      </c>
      <c r="F238" s="16">
        <f t="shared" si="112"/>
        <v>7377.1200000000008</v>
      </c>
      <c r="G238" s="44">
        <v>1.7113637316784464E-4</v>
      </c>
      <c r="H238" s="57"/>
      <c r="I238" s="4" t="s">
        <v>109</v>
      </c>
      <c r="J238" s="71">
        <f t="shared" si="125"/>
        <v>0</v>
      </c>
      <c r="K238" s="71">
        <v>0</v>
      </c>
      <c r="L238" s="71">
        <f t="shared" si="126"/>
        <v>0</v>
      </c>
      <c r="M238" s="71">
        <f t="shared" si="127"/>
        <v>0</v>
      </c>
      <c r="N238" s="77">
        <f t="shared" si="128"/>
        <v>0</v>
      </c>
      <c r="O238" s="17"/>
    </row>
    <row r="239" spans="1:15" x14ac:dyDescent="0.55000000000000004">
      <c r="A239" s="9"/>
      <c r="B239" s="10" t="s">
        <v>115</v>
      </c>
      <c r="C239" s="4" t="s">
        <v>109</v>
      </c>
      <c r="D239" s="5">
        <v>13</v>
      </c>
      <c r="E239" s="6">
        <v>115.83000000000003</v>
      </c>
      <c r="F239" s="16">
        <f t="shared" si="112"/>
        <v>1505.7900000000004</v>
      </c>
      <c r="G239" s="44">
        <v>3.4931713101102983E-5</v>
      </c>
      <c r="H239" s="57"/>
      <c r="I239" s="4" t="s">
        <v>109</v>
      </c>
      <c r="J239" s="71">
        <f t="shared" si="125"/>
        <v>0</v>
      </c>
      <c r="K239" s="71">
        <v>0</v>
      </c>
      <c r="L239" s="71">
        <f t="shared" si="126"/>
        <v>0</v>
      </c>
      <c r="M239" s="71">
        <f t="shared" si="127"/>
        <v>0</v>
      </c>
      <c r="N239" s="77">
        <f t="shared" si="128"/>
        <v>0</v>
      </c>
      <c r="O239" s="17"/>
    </row>
    <row r="240" spans="1:15" x14ac:dyDescent="0.55000000000000004">
      <c r="A240" s="9"/>
      <c r="B240" s="10" t="s">
        <v>116</v>
      </c>
      <c r="C240" s="4" t="s">
        <v>109</v>
      </c>
      <c r="D240" s="5">
        <v>59</v>
      </c>
      <c r="E240" s="6">
        <v>789.47</v>
      </c>
      <c r="F240" s="16">
        <f t="shared" si="112"/>
        <v>46578.73</v>
      </c>
      <c r="G240" s="44">
        <v>1.0805456491102597E-3</v>
      </c>
      <c r="H240" s="57"/>
      <c r="I240" s="4" t="s">
        <v>109</v>
      </c>
      <c r="J240" s="71">
        <f t="shared" si="125"/>
        <v>0</v>
      </c>
      <c r="K240" s="71">
        <v>0</v>
      </c>
      <c r="L240" s="71">
        <f t="shared" si="126"/>
        <v>0</v>
      </c>
      <c r="M240" s="71">
        <f t="shared" si="127"/>
        <v>0</v>
      </c>
      <c r="N240" s="77">
        <f t="shared" si="128"/>
        <v>0</v>
      </c>
      <c r="O240" s="17"/>
    </row>
    <row r="241" spans="1:15" x14ac:dyDescent="0.55000000000000004">
      <c r="A241" s="9"/>
      <c r="B241" s="10" t="s">
        <v>117</v>
      </c>
      <c r="C241" s="4"/>
      <c r="D241" s="5"/>
      <c r="E241" s="6"/>
      <c r="F241" s="16"/>
      <c r="G241" s="44"/>
      <c r="H241" s="57"/>
      <c r="I241" s="4"/>
      <c r="J241" s="71"/>
      <c r="K241" s="14"/>
      <c r="L241" s="71"/>
      <c r="M241" s="71"/>
      <c r="N241" s="77"/>
      <c r="O241" s="17"/>
    </row>
    <row r="242" spans="1:15" x14ac:dyDescent="0.55000000000000004">
      <c r="A242" s="9"/>
      <c r="B242" s="10" t="s">
        <v>118</v>
      </c>
      <c r="C242" s="4" t="s">
        <v>109</v>
      </c>
      <c r="D242" s="5">
        <v>85</v>
      </c>
      <c r="E242" s="6">
        <v>78.48</v>
      </c>
      <c r="F242" s="16">
        <f t="shared" si="112"/>
        <v>6670.8</v>
      </c>
      <c r="G242" s="44">
        <v>1.5475097573688077E-4</v>
      </c>
      <c r="H242" s="57"/>
      <c r="I242" s="4" t="s">
        <v>109</v>
      </c>
      <c r="J242" s="71">
        <f t="shared" ref="J242:J243" si="129">H242*E242</f>
        <v>0</v>
      </c>
      <c r="K242" s="71">
        <v>0</v>
      </c>
      <c r="L242" s="71">
        <f t="shared" ref="L242:L243" si="130">H242*J242</f>
        <v>0</v>
      </c>
      <c r="M242" s="71">
        <f t="shared" ref="M242:M243" si="131">K242+L242</f>
        <v>0</v>
      </c>
      <c r="N242" s="77">
        <f t="shared" ref="N242:N243" si="132">M242/43106674.89</f>
        <v>0</v>
      </c>
      <c r="O242" s="17"/>
    </row>
    <row r="243" spans="1:15" x14ac:dyDescent="0.55000000000000004">
      <c r="A243" s="9"/>
      <c r="B243" s="10" t="s">
        <v>119</v>
      </c>
      <c r="C243" s="4" t="s">
        <v>109</v>
      </c>
      <c r="D243" s="5">
        <v>20</v>
      </c>
      <c r="E243" s="6">
        <v>187.88</v>
      </c>
      <c r="F243" s="16">
        <f t="shared" si="112"/>
        <v>3757.6</v>
      </c>
      <c r="G243" s="44">
        <v>8.7169794691626664E-5</v>
      </c>
      <c r="H243" s="57"/>
      <c r="I243" s="4" t="s">
        <v>109</v>
      </c>
      <c r="J243" s="71">
        <f t="shared" si="129"/>
        <v>0</v>
      </c>
      <c r="K243" s="71">
        <v>0</v>
      </c>
      <c r="L243" s="71">
        <f t="shared" si="130"/>
        <v>0</v>
      </c>
      <c r="M243" s="71">
        <f t="shared" si="131"/>
        <v>0</v>
      </c>
      <c r="N243" s="77">
        <f t="shared" si="132"/>
        <v>0</v>
      </c>
      <c r="O243" s="17"/>
    </row>
    <row r="244" spans="1:15" x14ac:dyDescent="0.55000000000000004">
      <c r="A244" s="9"/>
      <c r="B244" s="10"/>
      <c r="C244" s="4"/>
      <c r="D244" s="5"/>
      <c r="E244" s="6"/>
      <c r="F244" s="16"/>
      <c r="G244" s="44"/>
      <c r="H244" s="57"/>
      <c r="I244" s="4"/>
      <c r="J244" s="71"/>
      <c r="K244" s="14"/>
      <c r="L244" s="71"/>
      <c r="M244" s="71"/>
      <c r="N244" s="77"/>
      <c r="O244" s="17"/>
    </row>
    <row r="245" spans="1:15" x14ac:dyDescent="0.55000000000000004">
      <c r="A245" s="9" t="s">
        <v>157</v>
      </c>
      <c r="B245" s="10" t="s">
        <v>121</v>
      </c>
      <c r="C245" s="4"/>
      <c r="D245" s="5"/>
      <c r="E245" s="6"/>
      <c r="F245" s="16"/>
      <c r="G245" s="44"/>
      <c r="H245" s="57"/>
      <c r="I245" s="4"/>
      <c r="J245" s="71"/>
      <c r="K245" s="14"/>
      <c r="L245" s="71"/>
      <c r="M245" s="71"/>
      <c r="N245" s="77"/>
      <c r="O245" s="17"/>
    </row>
    <row r="246" spans="1:15" x14ac:dyDescent="0.55000000000000004">
      <c r="A246" s="9"/>
      <c r="B246" s="10" t="s">
        <v>122</v>
      </c>
      <c r="C246" s="4" t="s">
        <v>91</v>
      </c>
      <c r="D246" s="5">
        <v>16</v>
      </c>
      <c r="E246" s="6">
        <v>1389.9099999999999</v>
      </c>
      <c r="F246" s="16">
        <f t="shared" si="112"/>
        <v>22238.559999999998</v>
      </c>
      <c r="G246" s="44">
        <v>5.158959733440018E-4</v>
      </c>
      <c r="H246" s="57"/>
      <c r="I246" s="4" t="s">
        <v>91</v>
      </c>
      <c r="J246" s="71">
        <f t="shared" ref="J246:J259" si="133">H246*E246</f>
        <v>0</v>
      </c>
      <c r="K246" s="71">
        <v>0</v>
      </c>
      <c r="L246" s="71">
        <f t="shared" ref="L246:L259" si="134">H246*J246</f>
        <v>0</v>
      </c>
      <c r="M246" s="71">
        <f t="shared" ref="M246:M259" si="135">K246+L246</f>
        <v>0</v>
      </c>
      <c r="N246" s="77">
        <f t="shared" ref="N246:N259" si="136">M246/43106674.89</f>
        <v>0</v>
      </c>
      <c r="O246" s="17"/>
    </row>
    <row r="247" spans="1:15" x14ac:dyDescent="0.55000000000000004">
      <c r="A247" s="9"/>
      <c r="B247" s="10" t="s">
        <v>123</v>
      </c>
      <c r="C247" s="4" t="s">
        <v>76</v>
      </c>
      <c r="D247" s="5">
        <v>6</v>
      </c>
      <c r="E247" s="6">
        <v>2523.2200000000007</v>
      </c>
      <c r="F247" s="16">
        <f t="shared" si="112"/>
        <v>15139.320000000003</v>
      </c>
      <c r="G247" s="44">
        <v>3.5120593362008667E-4</v>
      </c>
      <c r="H247" s="57"/>
      <c r="I247" s="4" t="s">
        <v>76</v>
      </c>
      <c r="J247" s="71">
        <f t="shared" si="133"/>
        <v>0</v>
      </c>
      <c r="K247" s="71">
        <v>0</v>
      </c>
      <c r="L247" s="71">
        <f t="shared" si="134"/>
        <v>0</v>
      </c>
      <c r="M247" s="71">
        <f t="shared" si="135"/>
        <v>0</v>
      </c>
      <c r="N247" s="77">
        <f t="shared" si="136"/>
        <v>0</v>
      </c>
      <c r="O247" s="17"/>
    </row>
    <row r="248" spans="1:15" x14ac:dyDescent="0.55000000000000004">
      <c r="A248" s="9"/>
      <c r="B248" s="10" t="s">
        <v>124</v>
      </c>
      <c r="C248" s="4" t="s">
        <v>125</v>
      </c>
      <c r="D248" s="5">
        <v>25</v>
      </c>
      <c r="E248" s="6">
        <v>277.99000000000007</v>
      </c>
      <c r="F248" s="16">
        <f t="shared" si="112"/>
        <v>6949.7500000000018</v>
      </c>
      <c r="G248" s="44">
        <v>1.6122213132268806E-4</v>
      </c>
      <c r="H248" s="57"/>
      <c r="I248" s="4" t="s">
        <v>125</v>
      </c>
      <c r="J248" s="71">
        <f t="shared" si="133"/>
        <v>0</v>
      </c>
      <c r="K248" s="71">
        <v>0</v>
      </c>
      <c r="L248" s="71">
        <f t="shared" si="134"/>
        <v>0</v>
      </c>
      <c r="M248" s="71">
        <f t="shared" si="135"/>
        <v>0</v>
      </c>
      <c r="N248" s="77">
        <f t="shared" si="136"/>
        <v>0</v>
      </c>
      <c r="O248" s="17"/>
    </row>
    <row r="249" spans="1:15" x14ac:dyDescent="0.55000000000000004">
      <c r="A249" s="9"/>
      <c r="B249" s="10" t="s">
        <v>126</v>
      </c>
      <c r="C249" s="4" t="s">
        <v>127</v>
      </c>
      <c r="D249" s="5">
        <v>49</v>
      </c>
      <c r="E249" s="6">
        <v>374.21999999999991</v>
      </c>
      <c r="F249" s="16">
        <f t="shared" si="112"/>
        <v>18336.779999999995</v>
      </c>
      <c r="G249" s="44">
        <v>4.2538145302999938E-4</v>
      </c>
      <c r="H249" s="57"/>
      <c r="I249" s="4" t="s">
        <v>127</v>
      </c>
      <c r="J249" s="71">
        <f t="shared" si="133"/>
        <v>0</v>
      </c>
      <c r="K249" s="71">
        <v>0</v>
      </c>
      <c r="L249" s="71">
        <f t="shared" si="134"/>
        <v>0</v>
      </c>
      <c r="M249" s="71">
        <f t="shared" si="135"/>
        <v>0</v>
      </c>
      <c r="N249" s="77">
        <f t="shared" si="136"/>
        <v>0</v>
      </c>
      <c r="O249" s="17"/>
    </row>
    <row r="250" spans="1:15" x14ac:dyDescent="0.55000000000000004">
      <c r="A250" s="9"/>
      <c r="B250" s="10" t="s">
        <v>128</v>
      </c>
      <c r="C250" s="4" t="s">
        <v>76</v>
      </c>
      <c r="D250" s="5">
        <v>107</v>
      </c>
      <c r="E250" s="6">
        <v>171.07000000000002</v>
      </c>
      <c r="F250" s="16">
        <f t="shared" si="112"/>
        <v>18304.490000000002</v>
      </c>
      <c r="G250" s="44">
        <v>4.246323811036123E-4</v>
      </c>
      <c r="H250" s="57"/>
      <c r="I250" s="4" t="s">
        <v>76</v>
      </c>
      <c r="J250" s="71">
        <f t="shared" si="133"/>
        <v>0</v>
      </c>
      <c r="K250" s="71">
        <v>0</v>
      </c>
      <c r="L250" s="71">
        <f t="shared" si="134"/>
        <v>0</v>
      </c>
      <c r="M250" s="71">
        <f t="shared" si="135"/>
        <v>0</v>
      </c>
      <c r="N250" s="77">
        <f t="shared" si="136"/>
        <v>0</v>
      </c>
      <c r="O250" s="17"/>
    </row>
    <row r="251" spans="1:15" x14ac:dyDescent="0.55000000000000004">
      <c r="A251" s="9"/>
      <c r="B251" s="10" t="s">
        <v>129</v>
      </c>
      <c r="C251" s="4" t="s">
        <v>91</v>
      </c>
      <c r="D251" s="5">
        <v>32</v>
      </c>
      <c r="E251" s="6">
        <v>21.39</v>
      </c>
      <c r="F251" s="16">
        <f t="shared" si="112"/>
        <v>684.48</v>
      </c>
      <c r="G251" s="44">
        <v>1.5878747357495374E-5</v>
      </c>
      <c r="H251" s="57"/>
      <c r="I251" s="4" t="s">
        <v>91</v>
      </c>
      <c r="J251" s="71">
        <f t="shared" si="133"/>
        <v>0</v>
      </c>
      <c r="K251" s="71">
        <v>0</v>
      </c>
      <c r="L251" s="71">
        <f t="shared" si="134"/>
        <v>0</v>
      </c>
      <c r="M251" s="71">
        <f t="shared" si="135"/>
        <v>0</v>
      </c>
      <c r="N251" s="77">
        <f t="shared" si="136"/>
        <v>0</v>
      </c>
      <c r="O251" s="17"/>
    </row>
    <row r="252" spans="1:15" x14ac:dyDescent="0.55000000000000004">
      <c r="A252" s="9"/>
      <c r="B252" s="10" t="s">
        <v>130</v>
      </c>
      <c r="C252" s="4" t="s">
        <v>91</v>
      </c>
      <c r="D252" s="5">
        <v>32</v>
      </c>
      <c r="E252" s="6">
        <v>10.699999999999998</v>
      </c>
      <c r="F252" s="16">
        <f t="shared" si="112"/>
        <v>342.39999999999992</v>
      </c>
      <c r="G252" s="44">
        <v>7.9430854008976387E-6</v>
      </c>
      <c r="H252" s="57"/>
      <c r="I252" s="4" t="s">
        <v>91</v>
      </c>
      <c r="J252" s="71">
        <f t="shared" si="133"/>
        <v>0</v>
      </c>
      <c r="K252" s="71">
        <v>0</v>
      </c>
      <c r="L252" s="71">
        <f t="shared" si="134"/>
        <v>0</v>
      </c>
      <c r="M252" s="71">
        <f t="shared" si="135"/>
        <v>0</v>
      </c>
      <c r="N252" s="77">
        <f t="shared" si="136"/>
        <v>0</v>
      </c>
      <c r="O252" s="17"/>
    </row>
    <row r="253" spans="1:15" x14ac:dyDescent="0.55000000000000004">
      <c r="A253" s="9"/>
      <c r="B253" s="10" t="s">
        <v>131</v>
      </c>
      <c r="C253" s="4" t="s">
        <v>132</v>
      </c>
      <c r="D253" s="5">
        <v>1</v>
      </c>
      <c r="E253" s="6">
        <v>3432</v>
      </c>
      <c r="F253" s="16">
        <f t="shared" si="112"/>
        <v>3432</v>
      </c>
      <c r="G253" s="44">
        <v>7.9616440116474005E-5</v>
      </c>
      <c r="H253" s="57"/>
      <c r="I253" s="4" t="s">
        <v>132</v>
      </c>
      <c r="J253" s="71">
        <f t="shared" si="133"/>
        <v>0</v>
      </c>
      <c r="K253" s="71">
        <v>0</v>
      </c>
      <c r="L253" s="71">
        <f t="shared" si="134"/>
        <v>0</v>
      </c>
      <c r="M253" s="71">
        <f t="shared" si="135"/>
        <v>0</v>
      </c>
      <c r="N253" s="77">
        <f t="shared" si="136"/>
        <v>0</v>
      </c>
      <c r="O253" s="17"/>
    </row>
    <row r="254" spans="1:15" x14ac:dyDescent="0.55000000000000004">
      <c r="A254" s="9"/>
      <c r="B254" s="10" t="s">
        <v>133</v>
      </c>
      <c r="C254" s="4" t="s">
        <v>91</v>
      </c>
      <c r="D254" s="5">
        <v>402</v>
      </c>
      <c r="E254" s="6">
        <v>42.78</v>
      </c>
      <c r="F254" s="16">
        <f t="shared" si="112"/>
        <v>17197.560000000001</v>
      </c>
      <c r="G254" s="44">
        <v>3.9895352735707133E-4</v>
      </c>
      <c r="H254" s="57"/>
      <c r="I254" s="4" t="s">
        <v>91</v>
      </c>
      <c r="J254" s="71">
        <f t="shared" si="133"/>
        <v>0</v>
      </c>
      <c r="K254" s="71">
        <v>0</v>
      </c>
      <c r="L254" s="71">
        <f t="shared" si="134"/>
        <v>0</v>
      </c>
      <c r="M254" s="71">
        <f t="shared" si="135"/>
        <v>0</v>
      </c>
      <c r="N254" s="77">
        <f t="shared" si="136"/>
        <v>0</v>
      </c>
      <c r="O254" s="17"/>
    </row>
    <row r="255" spans="1:15" x14ac:dyDescent="0.55000000000000004">
      <c r="A255" s="9"/>
      <c r="B255" s="10" t="s">
        <v>134</v>
      </c>
      <c r="C255" s="4" t="s">
        <v>135</v>
      </c>
      <c r="D255" s="5">
        <v>7</v>
      </c>
      <c r="E255" s="6">
        <v>14497.769999999999</v>
      </c>
      <c r="F255" s="16">
        <f t="shared" si="112"/>
        <v>101484.38999999998</v>
      </c>
      <c r="G255" s="44">
        <v>2.3542616139836515E-3</v>
      </c>
      <c r="H255" s="57"/>
      <c r="I255" s="4" t="s">
        <v>135</v>
      </c>
      <c r="J255" s="71">
        <f t="shared" si="133"/>
        <v>0</v>
      </c>
      <c r="K255" s="71">
        <v>0</v>
      </c>
      <c r="L255" s="71">
        <f t="shared" si="134"/>
        <v>0</v>
      </c>
      <c r="M255" s="71">
        <f t="shared" si="135"/>
        <v>0</v>
      </c>
      <c r="N255" s="77">
        <f t="shared" si="136"/>
        <v>0</v>
      </c>
      <c r="O255" s="17"/>
    </row>
    <row r="256" spans="1:15" x14ac:dyDescent="0.55000000000000004">
      <c r="A256" s="9"/>
      <c r="B256" s="10" t="s">
        <v>136</v>
      </c>
      <c r="C256" s="4" t="s">
        <v>135</v>
      </c>
      <c r="D256" s="5">
        <v>4</v>
      </c>
      <c r="E256" s="6">
        <v>18175.66</v>
      </c>
      <c r="F256" s="16">
        <f t="shared" si="112"/>
        <v>72702.64</v>
      </c>
      <c r="G256" s="44">
        <v>1.6865749952999906E-3</v>
      </c>
      <c r="H256" s="57"/>
      <c r="I256" s="4" t="s">
        <v>135</v>
      </c>
      <c r="J256" s="71">
        <f t="shared" si="133"/>
        <v>0</v>
      </c>
      <c r="K256" s="71">
        <v>0</v>
      </c>
      <c r="L256" s="71">
        <f t="shared" si="134"/>
        <v>0</v>
      </c>
      <c r="M256" s="71">
        <f t="shared" si="135"/>
        <v>0</v>
      </c>
      <c r="N256" s="77">
        <f t="shared" si="136"/>
        <v>0</v>
      </c>
      <c r="O256" s="17"/>
    </row>
    <row r="257" spans="1:15" x14ac:dyDescent="0.55000000000000004">
      <c r="A257" s="9"/>
      <c r="B257" s="10" t="s">
        <v>137</v>
      </c>
      <c r="C257" s="4" t="s">
        <v>135</v>
      </c>
      <c r="D257" s="5">
        <v>12</v>
      </c>
      <c r="E257" s="6">
        <v>855.32999999999993</v>
      </c>
      <c r="F257" s="16">
        <f t="shared" si="112"/>
        <v>10263.959999999999</v>
      </c>
      <c r="G257" s="44">
        <v>2.3810604798889408E-4</v>
      </c>
      <c r="H257" s="57"/>
      <c r="I257" s="4" t="s">
        <v>135</v>
      </c>
      <c r="J257" s="71">
        <f t="shared" si="133"/>
        <v>0</v>
      </c>
      <c r="K257" s="71">
        <v>0</v>
      </c>
      <c r="L257" s="71">
        <f t="shared" si="134"/>
        <v>0</v>
      </c>
      <c r="M257" s="71">
        <f t="shared" si="135"/>
        <v>0</v>
      </c>
      <c r="N257" s="77">
        <f t="shared" si="136"/>
        <v>0</v>
      </c>
      <c r="O257" s="17"/>
    </row>
    <row r="258" spans="1:15" x14ac:dyDescent="0.55000000000000004">
      <c r="A258" s="9"/>
      <c r="B258" s="10" t="s">
        <v>138</v>
      </c>
      <c r="C258" s="4" t="s">
        <v>91</v>
      </c>
      <c r="D258" s="5">
        <v>160</v>
      </c>
      <c r="E258" s="6">
        <v>53.470000000000006</v>
      </c>
      <c r="F258" s="16">
        <f t="shared" si="112"/>
        <v>8555.2000000000007</v>
      </c>
      <c r="G258" s="44">
        <v>1.9846578335794244E-4</v>
      </c>
      <c r="H258" s="57"/>
      <c r="I258" s="4" t="s">
        <v>91</v>
      </c>
      <c r="J258" s="71">
        <f t="shared" si="133"/>
        <v>0</v>
      </c>
      <c r="K258" s="71">
        <v>0</v>
      </c>
      <c r="L258" s="71">
        <f t="shared" si="134"/>
        <v>0</v>
      </c>
      <c r="M258" s="71">
        <f t="shared" si="135"/>
        <v>0</v>
      </c>
      <c r="N258" s="77">
        <f t="shared" si="136"/>
        <v>0</v>
      </c>
      <c r="O258" s="17"/>
    </row>
    <row r="259" spans="1:15" x14ac:dyDescent="0.55000000000000004">
      <c r="A259" s="9"/>
      <c r="B259" s="10" t="s">
        <v>139</v>
      </c>
      <c r="C259" s="4" t="s">
        <v>91</v>
      </c>
      <c r="D259" s="5">
        <v>1</v>
      </c>
      <c r="E259" s="6">
        <v>213.84</v>
      </c>
      <c r="F259" s="16">
        <f t="shared" si="112"/>
        <v>213.84</v>
      </c>
      <c r="G259" s="44">
        <v>4.9607166534110727E-6</v>
      </c>
      <c r="H259" s="57"/>
      <c r="I259" s="4" t="s">
        <v>91</v>
      </c>
      <c r="J259" s="71">
        <f t="shared" si="133"/>
        <v>0</v>
      </c>
      <c r="K259" s="71">
        <v>0</v>
      </c>
      <c r="L259" s="71">
        <f t="shared" si="134"/>
        <v>0</v>
      </c>
      <c r="M259" s="71">
        <f t="shared" si="135"/>
        <v>0</v>
      </c>
      <c r="N259" s="77">
        <f t="shared" si="136"/>
        <v>0</v>
      </c>
      <c r="O259" s="17"/>
    </row>
    <row r="260" spans="1:15" x14ac:dyDescent="0.55000000000000004">
      <c r="A260" s="9"/>
      <c r="B260" s="10"/>
      <c r="C260" s="4"/>
      <c r="D260" s="5"/>
      <c r="E260" s="6"/>
      <c r="F260" s="16"/>
      <c r="G260" s="44"/>
      <c r="H260" s="57"/>
      <c r="I260" s="4"/>
      <c r="J260" s="71"/>
      <c r="K260" s="14"/>
      <c r="L260" s="71"/>
      <c r="M260" s="71"/>
      <c r="N260" s="77"/>
      <c r="O260" s="17"/>
    </row>
    <row r="261" spans="1:15" x14ac:dyDescent="0.55000000000000004">
      <c r="A261" s="9" t="s">
        <v>158</v>
      </c>
      <c r="B261" s="10" t="s">
        <v>141</v>
      </c>
      <c r="C261" s="4" t="s">
        <v>5</v>
      </c>
      <c r="D261" s="5">
        <v>1</v>
      </c>
      <c r="E261" s="6">
        <v>737348.8400000002</v>
      </c>
      <c r="F261" s="16">
        <f t="shared" si="112"/>
        <v>737348.8400000002</v>
      </c>
      <c r="G261" s="44">
        <v>1.7105212635434613E-2</v>
      </c>
      <c r="H261" s="57">
        <v>1</v>
      </c>
      <c r="I261" s="4" t="s">
        <v>5</v>
      </c>
      <c r="J261" s="71"/>
      <c r="K261" s="71">
        <v>0</v>
      </c>
      <c r="L261" s="71">
        <f t="shared" ref="L261" si="137">H261*J261</f>
        <v>0</v>
      </c>
      <c r="M261" s="71">
        <f t="shared" ref="M261" si="138">K261+L261</f>
        <v>0</v>
      </c>
      <c r="N261" s="77">
        <f t="shared" ref="N261" si="139">M261/43106674.89</f>
        <v>0</v>
      </c>
      <c r="O261" s="17"/>
    </row>
    <row r="262" spans="1:15" x14ac:dyDescent="0.55000000000000004">
      <c r="A262" s="9"/>
      <c r="B262" s="10"/>
      <c r="C262" s="4"/>
      <c r="D262" s="5"/>
      <c r="E262" s="6"/>
      <c r="F262" s="16"/>
      <c r="G262" s="44"/>
      <c r="H262" s="57"/>
      <c r="I262" s="4"/>
      <c r="J262" s="71"/>
      <c r="K262" s="14"/>
      <c r="L262" s="71"/>
      <c r="M262" s="71"/>
      <c r="N262" s="77"/>
      <c r="O262" s="17"/>
    </row>
    <row r="263" spans="1:15" x14ac:dyDescent="0.55000000000000004">
      <c r="A263" s="9" t="s">
        <v>159</v>
      </c>
      <c r="B263" s="10" t="s">
        <v>143</v>
      </c>
      <c r="C263" s="4" t="s">
        <v>5</v>
      </c>
      <c r="D263" s="5">
        <v>1</v>
      </c>
      <c r="E263" s="6">
        <v>6640.7100000000009</v>
      </c>
      <c r="F263" s="16">
        <f t="shared" si="112"/>
        <v>6640.7100000000009</v>
      </c>
      <c r="G263" s="44">
        <v>1.5405293999005542E-4</v>
      </c>
      <c r="H263" s="57">
        <v>1</v>
      </c>
      <c r="I263" s="4" t="s">
        <v>5</v>
      </c>
      <c r="J263" s="71"/>
      <c r="K263" s="71">
        <v>0</v>
      </c>
      <c r="L263" s="71">
        <f t="shared" ref="L263" si="140">H263*J263</f>
        <v>0</v>
      </c>
      <c r="M263" s="71">
        <f t="shared" ref="M263" si="141">K263+L263</f>
        <v>0</v>
      </c>
      <c r="N263" s="77">
        <f t="shared" ref="N263" si="142">M263/43106674.89</f>
        <v>0</v>
      </c>
      <c r="O263" s="17"/>
    </row>
    <row r="264" spans="1:15" x14ac:dyDescent="0.55000000000000004">
      <c r="A264" s="9"/>
      <c r="B264" s="10"/>
      <c r="C264" s="4"/>
      <c r="D264" s="5"/>
      <c r="E264" s="6"/>
      <c r="F264" s="16"/>
      <c r="G264" s="44"/>
      <c r="H264" s="57"/>
      <c r="I264" s="4"/>
      <c r="J264" s="71"/>
      <c r="K264" s="14"/>
      <c r="L264" s="71"/>
      <c r="M264" s="71"/>
      <c r="N264" s="77"/>
      <c r="O264" s="17"/>
    </row>
    <row r="265" spans="1:15" x14ac:dyDescent="0.55000000000000004">
      <c r="A265" s="9" t="s">
        <v>160</v>
      </c>
      <c r="B265" s="10" t="s">
        <v>161</v>
      </c>
      <c r="C265" s="4" t="s">
        <v>5</v>
      </c>
      <c r="D265" s="5">
        <v>1</v>
      </c>
      <c r="E265" s="6">
        <v>47190.33</v>
      </c>
      <c r="F265" s="16">
        <f t="shared" si="112"/>
        <v>47190.33</v>
      </c>
      <c r="G265" s="44">
        <v>1.0947337070284519E-3</v>
      </c>
      <c r="H265" s="57">
        <v>1</v>
      </c>
      <c r="I265" s="4" t="s">
        <v>5</v>
      </c>
      <c r="J265" s="71"/>
      <c r="K265" s="71">
        <v>0</v>
      </c>
      <c r="L265" s="71">
        <f t="shared" ref="L265" si="143">H265*J265</f>
        <v>0</v>
      </c>
      <c r="M265" s="71">
        <f t="shared" ref="M265" si="144">K265+L265</f>
        <v>0</v>
      </c>
      <c r="N265" s="77">
        <f t="shared" ref="N265" si="145">M265/43106674.89</f>
        <v>0</v>
      </c>
      <c r="O265" s="17"/>
    </row>
    <row r="266" spans="1:15" x14ac:dyDescent="0.55000000000000004">
      <c r="A266" s="9"/>
      <c r="B266" s="10"/>
      <c r="C266" s="4"/>
      <c r="D266" s="5"/>
      <c r="E266" s="6"/>
      <c r="F266" s="16"/>
      <c r="G266" s="44"/>
      <c r="H266" s="57"/>
      <c r="I266" s="4"/>
      <c r="J266" s="71"/>
      <c r="K266" s="14"/>
      <c r="L266" s="71"/>
      <c r="M266" s="71"/>
      <c r="N266" s="77"/>
      <c r="O266" s="17"/>
    </row>
    <row r="267" spans="1:15" x14ac:dyDescent="0.55000000000000004">
      <c r="A267" s="9" t="s">
        <v>162</v>
      </c>
      <c r="B267" s="10" t="s">
        <v>163</v>
      </c>
      <c r="C267" s="4"/>
      <c r="D267" s="5"/>
      <c r="E267" s="6"/>
      <c r="F267" s="16"/>
      <c r="G267" s="44"/>
      <c r="H267" s="57"/>
      <c r="I267" s="4"/>
      <c r="J267" s="71"/>
      <c r="K267" s="14"/>
      <c r="L267" s="71"/>
      <c r="M267" s="71"/>
      <c r="N267" s="77"/>
      <c r="O267" s="17"/>
    </row>
    <row r="268" spans="1:15" x14ac:dyDescent="0.55000000000000004">
      <c r="A268" s="9"/>
      <c r="B268" s="10" t="s">
        <v>164</v>
      </c>
      <c r="C268" s="4" t="s">
        <v>61</v>
      </c>
      <c r="D268" s="5">
        <v>3</v>
      </c>
      <c r="E268" s="6">
        <v>741057.71</v>
      </c>
      <c r="F268" s="16">
        <f t="shared" si="112"/>
        <v>2223173.13</v>
      </c>
      <c r="G268" s="44">
        <v>5.1573755936246815E-2</v>
      </c>
      <c r="H268" s="57"/>
      <c r="I268" s="4" t="s">
        <v>61</v>
      </c>
      <c r="J268" s="71">
        <f t="shared" ref="J268:J271" si="146">H268*E268</f>
        <v>0</v>
      </c>
      <c r="K268" s="71">
        <v>0</v>
      </c>
      <c r="L268" s="71">
        <f t="shared" ref="L268:L271" si="147">H268*J268</f>
        <v>0</v>
      </c>
      <c r="M268" s="71">
        <f t="shared" ref="M268:M271" si="148">K268+L268</f>
        <v>0</v>
      </c>
      <c r="N268" s="77">
        <f t="shared" ref="N268:N271" si="149">M268/43106674.89</f>
        <v>0</v>
      </c>
      <c r="O268" s="17"/>
    </row>
    <row r="269" spans="1:15" ht="42.3" x14ac:dyDescent="0.55000000000000004">
      <c r="A269" s="9"/>
      <c r="B269" s="10" t="s">
        <v>165</v>
      </c>
      <c r="C269" s="4" t="s">
        <v>61</v>
      </c>
      <c r="D269" s="5">
        <v>1</v>
      </c>
      <c r="E269" s="6">
        <v>55087.34</v>
      </c>
      <c r="F269" s="16">
        <f t="shared" si="112"/>
        <v>55087.34</v>
      </c>
      <c r="G269" s="44">
        <v>1.2779306253746629E-3</v>
      </c>
      <c r="H269" s="57"/>
      <c r="I269" s="4" t="s">
        <v>61</v>
      </c>
      <c r="J269" s="71">
        <f t="shared" si="146"/>
        <v>0</v>
      </c>
      <c r="K269" s="71">
        <v>0</v>
      </c>
      <c r="L269" s="71">
        <f t="shared" si="147"/>
        <v>0</v>
      </c>
      <c r="M269" s="71">
        <f t="shared" si="148"/>
        <v>0</v>
      </c>
      <c r="N269" s="77">
        <f t="shared" si="149"/>
        <v>0</v>
      </c>
      <c r="O269" s="17"/>
    </row>
    <row r="270" spans="1:15" ht="42.3" x14ac:dyDescent="0.55000000000000004">
      <c r="A270" s="9"/>
      <c r="B270" s="10" t="s">
        <v>166</v>
      </c>
      <c r="C270" s="4" t="s">
        <v>61</v>
      </c>
      <c r="D270" s="5">
        <v>7</v>
      </c>
      <c r="E270" s="6">
        <v>56222.86</v>
      </c>
      <c r="F270" s="16">
        <f t="shared" si="112"/>
        <v>393560.02</v>
      </c>
      <c r="G270" s="44">
        <v>9.1299090223101141E-3</v>
      </c>
      <c r="H270" s="57"/>
      <c r="I270" s="4" t="s">
        <v>61</v>
      </c>
      <c r="J270" s="71">
        <f t="shared" si="146"/>
        <v>0</v>
      </c>
      <c r="K270" s="71">
        <v>0</v>
      </c>
      <c r="L270" s="71">
        <f t="shared" si="147"/>
        <v>0</v>
      </c>
      <c r="M270" s="71">
        <f t="shared" si="148"/>
        <v>0</v>
      </c>
      <c r="N270" s="77">
        <f t="shared" si="149"/>
        <v>0</v>
      </c>
      <c r="O270" s="17"/>
    </row>
    <row r="271" spans="1:15" ht="42.3" x14ac:dyDescent="0.55000000000000004">
      <c r="A271" s="9"/>
      <c r="B271" s="10" t="s">
        <v>167</v>
      </c>
      <c r="C271" s="4" t="s">
        <v>61</v>
      </c>
      <c r="D271" s="5">
        <v>2</v>
      </c>
      <c r="E271" s="6">
        <v>87530.69</v>
      </c>
      <c r="F271" s="16">
        <f t="shared" si="112"/>
        <v>175061.38</v>
      </c>
      <c r="G271" s="44">
        <v>4.061120010919959E-3</v>
      </c>
      <c r="H271" s="57"/>
      <c r="I271" s="4" t="s">
        <v>61</v>
      </c>
      <c r="J271" s="71">
        <f t="shared" si="146"/>
        <v>0</v>
      </c>
      <c r="K271" s="71">
        <v>0</v>
      </c>
      <c r="L271" s="71">
        <f t="shared" si="147"/>
        <v>0</v>
      </c>
      <c r="M271" s="71">
        <f t="shared" si="148"/>
        <v>0</v>
      </c>
      <c r="N271" s="77">
        <f t="shared" si="149"/>
        <v>0</v>
      </c>
      <c r="O271" s="17"/>
    </row>
    <row r="272" spans="1:15" x14ac:dyDescent="0.55000000000000004">
      <c r="A272" s="9"/>
      <c r="B272" s="10"/>
      <c r="C272" s="4"/>
      <c r="D272" s="5"/>
      <c r="E272" s="6"/>
      <c r="F272" s="16"/>
      <c r="G272" s="44"/>
      <c r="H272" s="57"/>
      <c r="I272" s="4"/>
      <c r="J272" s="71"/>
      <c r="K272" s="14"/>
      <c r="L272" s="71"/>
      <c r="M272" s="71"/>
      <c r="N272" s="77"/>
      <c r="O272" s="17"/>
    </row>
    <row r="273" spans="1:15" x14ac:dyDescent="0.55000000000000004">
      <c r="A273" s="9"/>
      <c r="B273" s="10" t="s">
        <v>65</v>
      </c>
      <c r="C273" s="4"/>
      <c r="D273" s="5"/>
      <c r="E273" s="6"/>
      <c r="F273" s="16"/>
      <c r="G273" s="44"/>
      <c r="H273" s="57"/>
      <c r="I273" s="4"/>
      <c r="J273" s="71"/>
      <c r="K273" s="14"/>
      <c r="L273" s="71"/>
      <c r="M273" s="71"/>
      <c r="N273" s="77"/>
      <c r="O273" s="17"/>
    </row>
    <row r="274" spans="1:15" x14ac:dyDescent="0.55000000000000004">
      <c r="A274" s="9"/>
      <c r="B274" s="10" t="s">
        <v>152</v>
      </c>
      <c r="C274" s="4" t="s">
        <v>61</v>
      </c>
      <c r="D274" s="5">
        <v>10</v>
      </c>
      <c r="E274" s="6">
        <v>11760.720000000001</v>
      </c>
      <c r="F274" s="16">
        <f t="shared" si="112"/>
        <v>117607.20000000001</v>
      </c>
      <c r="G274" s="44">
        <v>2.7282828077115919E-3</v>
      </c>
      <c r="H274" s="57"/>
      <c r="I274" s="4" t="s">
        <v>61</v>
      </c>
      <c r="J274" s="71">
        <f t="shared" ref="J274:J280" si="150">H274*E274</f>
        <v>0</v>
      </c>
      <c r="K274" s="71">
        <v>0</v>
      </c>
      <c r="L274" s="71">
        <f t="shared" ref="L274:L280" si="151">H274*J274</f>
        <v>0</v>
      </c>
      <c r="M274" s="71">
        <f t="shared" ref="M274:M280" si="152">K274+L274</f>
        <v>0</v>
      </c>
      <c r="N274" s="77">
        <f t="shared" ref="N274:N280" si="153">M274/43106674.89</f>
        <v>0</v>
      </c>
      <c r="O274" s="17"/>
    </row>
    <row r="275" spans="1:15" x14ac:dyDescent="0.55000000000000004">
      <c r="A275" s="9"/>
      <c r="B275" s="10" t="s">
        <v>67</v>
      </c>
      <c r="C275" s="4" t="s">
        <v>61</v>
      </c>
      <c r="D275" s="5">
        <v>2</v>
      </c>
      <c r="E275" s="6">
        <v>22345.370000000003</v>
      </c>
      <c r="F275" s="16">
        <f t="shared" si="112"/>
        <v>44690.740000000005</v>
      </c>
      <c r="G275" s="44">
        <v>1.0367475597234585E-3</v>
      </c>
      <c r="H275" s="57"/>
      <c r="I275" s="4" t="s">
        <v>61</v>
      </c>
      <c r="J275" s="71">
        <f t="shared" si="150"/>
        <v>0</v>
      </c>
      <c r="K275" s="71">
        <v>0</v>
      </c>
      <c r="L275" s="71">
        <f t="shared" si="151"/>
        <v>0</v>
      </c>
      <c r="M275" s="71">
        <f t="shared" si="152"/>
        <v>0</v>
      </c>
      <c r="N275" s="77">
        <f t="shared" si="153"/>
        <v>0</v>
      </c>
      <c r="O275" s="17"/>
    </row>
    <row r="276" spans="1:15" x14ac:dyDescent="0.55000000000000004">
      <c r="A276" s="9"/>
      <c r="B276" s="10" t="s">
        <v>69</v>
      </c>
      <c r="C276" s="4" t="s">
        <v>61</v>
      </c>
      <c r="D276" s="5">
        <v>2</v>
      </c>
      <c r="E276" s="6">
        <v>4939.5100000000011</v>
      </c>
      <c r="F276" s="16">
        <f t="shared" si="112"/>
        <v>9879.0200000000023</v>
      </c>
      <c r="G276" s="44">
        <v>2.2917610846137797E-4</v>
      </c>
      <c r="H276" s="57"/>
      <c r="I276" s="4" t="s">
        <v>61</v>
      </c>
      <c r="J276" s="71">
        <f t="shared" si="150"/>
        <v>0</v>
      </c>
      <c r="K276" s="71">
        <v>0</v>
      </c>
      <c r="L276" s="71">
        <f t="shared" si="151"/>
        <v>0</v>
      </c>
      <c r="M276" s="71">
        <f t="shared" si="152"/>
        <v>0</v>
      </c>
      <c r="N276" s="77">
        <f t="shared" si="153"/>
        <v>0</v>
      </c>
      <c r="O276" s="17"/>
    </row>
    <row r="277" spans="1:15" x14ac:dyDescent="0.55000000000000004">
      <c r="A277" s="9"/>
      <c r="B277" s="10" t="s">
        <v>153</v>
      </c>
      <c r="C277" s="4" t="s">
        <v>61</v>
      </c>
      <c r="D277" s="5">
        <v>4</v>
      </c>
      <c r="E277" s="6">
        <v>8232.51</v>
      </c>
      <c r="F277" s="16">
        <f t="shared" si="112"/>
        <v>32930.04</v>
      </c>
      <c r="G277" s="44">
        <v>7.6391974291756812E-4</v>
      </c>
      <c r="H277" s="57"/>
      <c r="I277" s="4" t="s">
        <v>61</v>
      </c>
      <c r="J277" s="71">
        <f t="shared" si="150"/>
        <v>0</v>
      </c>
      <c r="K277" s="71">
        <v>0</v>
      </c>
      <c r="L277" s="71">
        <f t="shared" si="151"/>
        <v>0</v>
      </c>
      <c r="M277" s="71">
        <f t="shared" si="152"/>
        <v>0</v>
      </c>
      <c r="N277" s="77">
        <f t="shared" si="153"/>
        <v>0</v>
      </c>
      <c r="O277" s="17"/>
    </row>
    <row r="278" spans="1:15" x14ac:dyDescent="0.55000000000000004">
      <c r="A278" s="9"/>
      <c r="B278" s="10" t="s">
        <v>154</v>
      </c>
      <c r="C278" s="4" t="s">
        <v>61</v>
      </c>
      <c r="D278" s="5">
        <v>3</v>
      </c>
      <c r="E278" s="6">
        <v>14112.87</v>
      </c>
      <c r="F278" s="16">
        <f t="shared" si="112"/>
        <v>42338.61</v>
      </c>
      <c r="G278" s="44">
        <v>9.8218222834491487E-4</v>
      </c>
      <c r="H278" s="57"/>
      <c r="I278" s="4" t="s">
        <v>61</v>
      </c>
      <c r="J278" s="71">
        <f t="shared" si="150"/>
        <v>0</v>
      </c>
      <c r="K278" s="71">
        <v>0</v>
      </c>
      <c r="L278" s="71">
        <f t="shared" si="151"/>
        <v>0</v>
      </c>
      <c r="M278" s="71">
        <f t="shared" si="152"/>
        <v>0</v>
      </c>
      <c r="N278" s="77">
        <f t="shared" si="153"/>
        <v>0</v>
      </c>
      <c r="O278" s="17"/>
    </row>
    <row r="279" spans="1:15" x14ac:dyDescent="0.55000000000000004">
      <c r="A279" s="9"/>
      <c r="B279" s="10" t="s">
        <v>72</v>
      </c>
      <c r="C279" s="4" t="s">
        <v>61</v>
      </c>
      <c r="D279" s="5">
        <v>3</v>
      </c>
      <c r="E279" s="6">
        <v>5997.9700000000012</v>
      </c>
      <c r="F279" s="16">
        <f t="shared" si="112"/>
        <v>17993.910000000003</v>
      </c>
      <c r="G279" s="44">
        <v>4.1742746444528643E-4</v>
      </c>
      <c r="H279" s="57"/>
      <c r="I279" s="4" t="s">
        <v>61</v>
      </c>
      <c r="J279" s="71">
        <f t="shared" si="150"/>
        <v>0</v>
      </c>
      <c r="K279" s="71">
        <v>0</v>
      </c>
      <c r="L279" s="71">
        <f t="shared" si="151"/>
        <v>0</v>
      </c>
      <c r="M279" s="71">
        <f t="shared" si="152"/>
        <v>0</v>
      </c>
      <c r="N279" s="77">
        <f t="shared" si="153"/>
        <v>0</v>
      </c>
      <c r="O279" s="17"/>
    </row>
    <row r="280" spans="1:15" x14ac:dyDescent="0.55000000000000004">
      <c r="A280" s="9"/>
      <c r="B280" s="10" t="s">
        <v>73</v>
      </c>
      <c r="C280" s="4" t="s">
        <v>61</v>
      </c>
      <c r="D280" s="5">
        <v>1</v>
      </c>
      <c r="E280" s="6">
        <v>39751.22</v>
      </c>
      <c r="F280" s="16">
        <f t="shared" si="112"/>
        <v>39751.22</v>
      </c>
      <c r="G280" s="44">
        <v>9.221592735101352E-4</v>
      </c>
      <c r="H280" s="57"/>
      <c r="I280" s="4" t="s">
        <v>61</v>
      </c>
      <c r="J280" s="71">
        <f t="shared" si="150"/>
        <v>0</v>
      </c>
      <c r="K280" s="71">
        <v>0</v>
      </c>
      <c r="L280" s="71">
        <f t="shared" si="151"/>
        <v>0</v>
      </c>
      <c r="M280" s="71">
        <f t="shared" si="152"/>
        <v>0</v>
      </c>
      <c r="N280" s="77">
        <f t="shared" si="153"/>
        <v>0</v>
      </c>
      <c r="O280" s="17"/>
    </row>
    <row r="281" spans="1:15" x14ac:dyDescent="0.55000000000000004">
      <c r="A281" s="9"/>
      <c r="B281" s="10"/>
      <c r="C281" s="4"/>
      <c r="D281" s="5"/>
      <c r="E281" s="6"/>
      <c r="F281" s="16"/>
      <c r="G281" s="44"/>
      <c r="H281" s="57"/>
      <c r="I281" s="4"/>
      <c r="J281" s="71"/>
      <c r="K281" s="14"/>
      <c r="L281" s="71"/>
      <c r="M281" s="71"/>
      <c r="N281" s="77"/>
      <c r="O281" s="17"/>
    </row>
    <row r="282" spans="1:15" x14ac:dyDescent="0.55000000000000004">
      <c r="A282" s="9"/>
      <c r="B282" s="10" t="s">
        <v>74</v>
      </c>
      <c r="C282" s="4"/>
      <c r="D282" s="5"/>
      <c r="E282" s="6"/>
      <c r="F282" s="16"/>
      <c r="G282" s="44"/>
      <c r="H282" s="57"/>
      <c r="I282" s="4"/>
      <c r="J282" s="71"/>
      <c r="K282" s="14"/>
      <c r="L282" s="71"/>
      <c r="M282" s="71"/>
      <c r="N282" s="77"/>
      <c r="O282" s="17"/>
    </row>
    <row r="283" spans="1:15" x14ac:dyDescent="0.55000000000000004">
      <c r="A283" s="9"/>
      <c r="B283" s="10" t="s">
        <v>75</v>
      </c>
      <c r="C283" s="4" t="s">
        <v>76</v>
      </c>
      <c r="D283" s="5">
        <v>1</v>
      </c>
      <c r="E283" s="6">
        <v>2120.33</v>
      </c>
      <c r="F283" s="16">
        <f t="shared" ref="F283:F346" si="154">D283*E283</f>
        <v>2120.33</v>
      </c>
      <c r="G283" s="44">
        <v>4.9187973913800506E-5</v>
      </c>
      <c r="H283" s="57"/>
      <c r="I283" s="4" t="s">
        <v>76</v>
      </c>
      <c r="J283" s="71">
        <f t="shared" ref="J283:J291" si="155">H283*E283</f>
        <v>0</v>
      </c>
      <c r="K283" s="71">
        <v>0</v>
      </c>
      <c r="L283" s="71">
        <f t="shared" ref="L283:L291" si="156">H283*J283</f>
        <v>0</v>
      </c>
      <c r="M283" s="71">
        <f t="shared" ref="M283:M291" si="157">K283+L283</f>
        <v>0</v>
      </c>
      <c r="N283" s="77">
        <f t="shared" ref="N283:N291" si="158">M283/43106674.89</f>
        <v>0</v>
      </c>
      <c r="O283" s="17"/>
    </row>
    <row r="284" spans="1:15" x14ac:dyDescent="0.55000000000000004">
      <c r="A284" s="9"/>
      <c r="B284" s="10" t="s">
        <v>77</v>
      </c>
      <c r="C284" s="4" t="s">
        <v>76</v>
      </c>
      <c r="D284" s="5">
        <v>11</v>
      </c>
      <c r="E284" s="6">
        <v>2952.3500000000004</v>
      </c>
      <c r="F284" s="16">
        <f t="shared" si="154"/>
        <v>32475.850000000006</v>
      </c>
      <c r="G284" s="44">
        <v>7.5338332364702589E-4</v>
      </c>
      <c r="H284" s="57"/>
      <c r="I284" s="4" t="s">
        <v>76</v>
      </c>
      <c r="J284" s="71">
        <f t="shared" si="155"/>
        <v>0</v>
      </c>
      <c r="K284" s="71">
        <v>0</v>
      </c>
      <c r="L284" s="71">
        <f t="shared" si="156"/>
        <v>0</v>
      </c>
      <c r="M284" s="71">
        <f t="shared" si="157"/>
        <v>0</v>
      </c>
      <c r="N284" s="77">
        <f t="shared" si="158"/>
        <v>0</v>
      </c>
      <c r="O284" s="17"/>
    </row>
    <row r="285" spans="1:15" x14ac:dyDescent="0.55000000000000004">
      <c r="A285" s="9"/>
      <c r="B285" s="10" t="s">
        <v>78</v>
      </c>
      <c r="C285" s="4" t="s">
        <v>76</v>
      </c>
      <c r="D285" s="5">
        <v>2</v>
      </c>
      <c r="E285" s="6">
        <v>4696.92</v>
      </c>
      <c r="F285" s="16">
        <f t="shared" si="154"/>
        <v>9393.84</v>
      </c>
      <c r="G285" s="44">
        <v>2.1792077500691672E-4</v>
      </c>
      <c r="H285" s="57"/>
      <c r="I285" s="4" t="s">
        <v>76</v>
      </c>
      <c r="J285" s="71">
        <f t="shared" si="155"/>
        <v>0</v>
      </c>
      <c r="K285" s="71">
        <v>0</v>
      </c>
      <c r="L285" s="71">
        <f t="shared" si="156"/>
        <v>0</v>
      </c>
      <c r="M285" s="71">
        <f t="shared" si="157"/>
        <v>0</v>
      </c>
      <c r="N285" s="77">
        <f t="shared" si="158"/>
        <v>0</v>
      </c>
      <c r="O285" s="17"/>
    </row>
    <row r="286" spans="1:15" x14ac:dyDescent="0.55000000000000004">
      <c r="A286" s="9"/>
      <c r="B286" s="10" t="s">
        <v>79</v>
      </c>
      <c r="C286" s="4" t="s">
        <v>76</v>
      </c>
      <c r="D286" s="5">
        <v>14</v>
      </c>
      <c r="E286" s="6">
        <v>6775.9500000000016</v>
      </c>
      <c r="F286" s="16">
        <f t="shared" si="154"/>
        <v>94863.300000000017</v>
      </c>
      <c r="G286" s="44">
        <v>2.200663823922235E-3</v>
      </c>
      <c r="H286" s="57"/>
      <c r="I286" s="4" t="s">
        <v>76</v>
      </c>
      <c r="J286" s="71">
        <f t="shared" si="155"/>
        <v>0</v>
      </c>
      <c r="K286" s="71">
        <v>0</v>
      </c>
      <c r="L286" s="71">
        <f t="shared" si="156"/>
        <v>0</v>
      </c>
      <c r="M286" s="71">
        <f t="shared" si="157"/>
        <v>0</v>
      </c>
      <c r="N286" s="77">
        <f t="shared" si="158"/>
        <v>0</v>
      </c>
      <c r="O286" s="17"/>
    </row>
    <row r="287" spans="1:15" x14ac:dyDescent="0.55000000000000004">
      <c r="A287" s="9"/>
      <c r="B287" s="10" t="s">
        <v>80</v>
      </c>
      <c r="C287" s="4" t="s">
        <v>76</v>
      </c>
      <c r="D287" s="5">
        <v>9</v>
      </c>
      <c r="E287" s="6">
        <v>8642.33</v>
      </c>
      <c r="F287" s="16">
        <f t="shared" si="154"/>
        <v>77780.97</v>
      </c>
      <c r="G287" s="44">
        <v>1.8043834324610319E-3</v>
      </c>
      <c r="H287" s="57"/>
      <c r="I287" s="4" t="s">
        <v>76</v>
      </c>
      <c r="J287" s="71">
        <f t="shared" si="155"/>
        <v>0</v>
      </c>
      <c r="K287" s="71">
        <v>0</v>
      </c>
      <c r="L287" s="71">
        <f t="shared" si="156"/>
        <v>0</v>
      </c>
      <c r="M287" s="71">
        <f t="shared" si="157"/>
        <v>0</v>
      </c>
      <c r="N287" s="77">
        <f t="shared" si="158"/>
        <v>0</v>
      </c>
      <c r="O287" s="17"/>
    </row>
    <row r="288" spans="1:15" x14ac:dyDescent="0.55000000000000004">
      <c r="A288" s="9"/>
      <c r="B288" s="10" t="s">
        <v>81</v>
      </c>
      <c r="C288" s="4" t="s">
        <v>76</v>
      </c>
      <c r="D288" s="5">
        <v>1</v>
      </c>
      <c r="E288" s="6">
        <v>10870.01</v>
      </c>
      <c r="F288" s="16">
        <f t="shared" si="154"/>
        <v>10870.01</v>
      </c>
      <c r="G288" s="44">
        <v>2.5216535554500982E-4</v>
      </c>
      <c r="H288" s="57"/>
      <c r="I288" s="4" t="s">
        <v>76</v>
      </c>
      <c r="J288" s="71">
        <f t="shared" si="155"/>
        <v>0</v>
      </c>
      <c r="K288" s="71">
        <v>0</v>
      </c>
      <c r="L288" s="71">
        <f t="shared" si="156"/>
        <v>0</v>
      </c>
      <c r="M288" s="71">
        <f t="shared" si="157"/>
        <v>0</v>
      </c>
      <c r="N288" s="77">
        <f t="shared" si="158"/>
        <v>0</v>
      </c>
      <c r="O288" s="17"/>
    </row>
    <row r="289" spans="1:15" x14ac:dyDescent="0.55000000000000004">
      <c r="A289" s="9"/>
      <c r="B289" s="10" t="s">
        <v>82</v>
      </c>
      <c r="C289" s="4" t="s">
        <v>76</v>
      </c>
      <c r="D289" s="5">
        <v>5</v>
      </c>
      <c r="E289" s="6">
        <v>15566.920000000002</v>
      </c>
      <c r="F289" s="16">
        <f t="shared" si="154"/>
        <v>77834.600000000006</v>
      </c>
      <c r="G289" s="44">
        <v>1.8056275553291691E-3</v>
      </c>
      <c r="H289" s="57"/>
      <c r="I289" s="4" t="s">
        <v>76</v>
      </c>
      <c r="J289" s="71">
        <f t="shared" si="155"/>
        <v>0</v>
      </c>
      <c r="K289" s="71">
        <v>0</v>
      </c>
      <c r="L289" s="71">
        <f t="shared" si="156"/>
        <v>0</v>
      </c>
      <c r="M289" s="71">
        <f t="shared" si="157"/>
        <v>0</v>
      </c>
      <c r="N289" s="77">
        <f t="shared" si="158"/>
        <v>0</v>
      </c>
      <c r="O289" s="17"/>
    </row>
    <row r="290" spans="1:15" x14ac:dyDescent="0.55000000000000004">
      <c r="A290" s="9"/>
      <c r="B290" s="10" t="s">
        <v>83</v>
      </c>
      <c r="C290" s="4" t="s">
        <v>76</v>
      </c>
      <c r="D290" s="5">
        <v>3</v>
      </c>
      <c r="E290" s="6">
        <v>21015.330000000005</v>
      </c>
      <c r="F290" s="16">
        <f t="shared" si="154"/>
        <v>63045.99000000002</v>
      </c>
      <c r="G290" s="44">
        <v>1.4625574846791436E-3</v>
      </c>
      <c r="H290" s="57"/>
      <c r="I290" s="4" t="s">
        <v>76</v>
      </c>
      <c r="J290" s="71">
        <f t="shared" si="155"/>
        <v>0</v>
      </c>
      <c r="K290" s="71">
        <v>0</v>
      </c>
      <c r="L290" s="71">
        <f t="shared" si="156"/>
        <v>0</v>
      </c>
      <c r="M290" s="71">
        <f t="shared" si="157"/>
        <v>0</v>
      </c>
      <c r="N290" s="77">
        <f t="shared" si="158"/>
        <v>0</v>
      </c>
      <c r="O290" s="17"/>
    </row>
    <row r="291" spans="1:15" x14ac:dyDescent="0.55000000000000004">
      <c r="A291" s="9"/>
      <c r="B291" s="10" t="s">
        <v>84</v>
      </c>
      <c r="C291" s="4" t="s">
        <v>76</v>
      </c>
      <c r="D291" s="5">
        <v>7</v>
      </c>
      <c r="E291" s="6">
        <v>27039.769999999997</v>
      </c>
      <c r="F291" s="16">
        <f t="shared" si="154"/>
        <v>189278.38999999998</v>
      </c>
      <c r="G291" s="44">
        <v>4.3909299541892806E-3</v>
      </c>
      <c r="H291" s="57"/>
      <c r="I291" s="4" t="s">
        <v>76</v>
      </c>
      <c r="J291" s="71">
        <f t="shared" si="155"/>
        <v>0</v>
      </c>
      <c r="K291" s="71">
        <v>0</v>
      </c>
      <c r="L291" s="71">
        <f t="shared" si="156"/>
        <v>0</v>
      </c>
      <c r="M291" s="71">
        <f t="shared" si="157"/>
        <v>0</v>
      </c>
      <c r="N291" s="77">
        <f t="shared" si="158"/>
        <v>0</v>
      </c>
      <c r="O291" s="17"/>
    </row>
    <row r="292" spans="1:15" x14ac:dyDescent="0.55000000000000004">
      <c r="A292" s="9"/>
      <c r="B292" s="10"/>
      <c r="C292" s="4"/>
      <c r="D292" s="5"/>
      <c r="E292" s="6"/>
      <c r="F292" s="16"/>
      <c r="G292" s="44"/>
      <c r="H292" s="57"/>
      <c r="I292" s="4"/>
      <c r="J292" s="71"/>
      <c r="K292" s="14"/>
      <c r="L292" s="71"/>
      <c r="M292" s="71"/>
      <c r="N292" s="77"/>
      <c r="O292" s="17"/>
    </row>
    <row r="293" spans="1:15" x14ac:dyDescent="0.55000000000000004">
      <c r="A293" s="9"/>
      <c r="B293" s="10" t="s">
        <v>85</v>
      </c>
      <c r="C293" s="4"/>
      <c r="D293" s="5"/>
      <c r="E293" s="6"/>
      <c r="F293" s="16"/>
      <c r="G293" s="44"/>
      <c r="H293" s="57"/>
      <c r="I293" s="4"/>
      <c r="J293" s="71"/>
      <c r="K293" s="14"/>
      <c r="L293" s="71"/>
      <c r="M293" s="71"/>
      <c r="N293" s="77"/>
      <c r="O293" s="17"/>
    </row>
    <row r="294" spans="1:15" x14ac:dyDescent="0.55000000000000004">
      <c r="A294" s="9"/>
      <c r="B294" s="10" t="s">
        <v>75</v>
      </c>
      <c r="C294" s="4" t="s">
        <v>76</v>
      </c>
      <c r="D294" s="5">
        <v>2</v>
      </c>
      <c r="E294" s="6">
        <v>433.56999999999994</v>
      </c>
      <c r="F294" s="16">
        <f t="shared" si="154"/>
        <v>867.13999999999987</v>
      </c>
      <c r="G294" s="44">
        <v>2.0116142156934517E-5</v>
      </c>
      <c r="H294" s="57"/>
      <c r="I294" s="4" t="s">
        <v>76</v>
      </c>
      <c r="J294" s="71">
        <f t="shared" ref="J294:J302" si="159">H294*E294</f>
        <v>0</v>
      </c>
      <c r="K294" s="71">
        <v>0</v>
      </c>
      <c r="L294" s="71">
        <f t="shared" ref="L294:L302" si="160">H294*J294</f>
        <v>0</v>
      </c>
      <c r="M294" s="71">
        <f t="shared" ref="M294:M302" si="161">K294+L294</f>
        <v>0</v>
      </c>
      <c r="N294" s="77">
        <f t="shared" ref="N294:N302" si="162">M294/43106674.89</f>
        <v>0</v>
      </c>
      <c r="O294" s="17"/>
    </row>
    <row r="295" spans="1:15" x14ac:dyDescent="0.55000000000000004">
      <c r="A295" s="9"/>
      <c r="B295" s="10" t="s">
        <v>77</v>
      </c>
      <c r="C295" s="4" t="s">
        <v>76</v>
      </c>
      <c r="D295" s="5">
        <v>21</v>
      </c>
      <c r="E295" s="6">
        <v>441.82999999999993</v>
      </c>
      <c r="F295" s="16">
        <f t="shared" si="154"/>
        <v>9278.4299999999985</v>
      </c>
      <c r="G295" s="44">
        <v>2.152434634236293E-4</v>
      </c>
      <c r="H295" s="57"/>
      <c r="I295" s="4" t="s">
        <v>76</v>
      </c>
      <c r="J295" s="71">
        <f t="shared" si="159"/>
        <v>0</v>
      </c>
      <c r="K295" s="71">
        <v>0</v>
      </c>
      <c r="L295" s="71">
        <f t="shared" si="160"/>
        <v>0</v>
      </c>
      <c r="M295" s="71">
        <f t="shared" si="161"/>
        <v>0</v>
      </c>
      <c r="N295" s="77">
        <f t="shared" si="162"/>
        <v>0</v>
      </c>
      <c r="O295" s="17"/>
    </row>
    <row r="296" spans="1:15" x14ac:dyDescent="0.55000000000000004">
      <c r="A296" s="9"/>
      <c r="B296" s="10" t="s">
        <v>78</v>
      </c>
      <c r="C296" s="4" t="s">
        <v>76</v>
      </c>
      <c r="D296" s="5">
        <v>4</v>
      </c>
      <c r="E296" s="6">
        <v>516.15</v>
      </c>
      <c r="F296" s="16">
        <f t="shared" si="154"/>
        <v>2064.6</v>
      </c>
      <c r="G296" s="44">
        <v>4.7895134692445289E-5</v>
      </c>
      <c r="H296" s="57"/>
      <c r="I296" s="4" t="s">
        <v>76</v>
      </c>
      <c r="J296" s="71">
        <f t="shared" si="159"/>
        <v>0</v>
      </c>
      <c r="K296" s="71">
        <v>0</v>
      </c>
      <c r="L296" s="71">
        <f t="shared" si="160"/>
        <v>0</v>
      </c>
      <c r="M296" s="71">
        <f t="shared" si="161"/>
        <v>0</v>
      </c>
      <c r="N296" s="77">
        <f t="shared" si="162"/>
        <v>0</v>
      </c>
      <c r="O296" s="17"/>
    </row>
    <row r="297" spans="1:15" x14ac:dyDescent="0.55000000000000004">
      <c r="A297" s="9"/>
      <c r="B297" s="10" t="s">
        <v>79</v>
      </c>
      <c r="C297" s="4" t="s">
        <v>76</v>
      </c>
      <c r="D297" s="5">
        <v>27</v>
      </c>
      <c r="E297" s="6">
        <v>629.70999999999992</v>
      </c>
      <c r="F297" s="16">
        <f t="shared" si="154"/>
        <v>17002.169999999998</v>
      </c>
      <c r="G297" s="44">
        <v>3.9442081866407656E-4</v>
      </c>
      <c r="H297" s="57"/>
      <c r="I297" s="4" t="s">
        <v>76</v>
      </c>
      <c r="J297" s="71">
        <f t="shared" si="159"/>
        <v>0</v>
      </c>
      <c r="K297" s="71">
        <v>0</v>
      </c>
      <c r="L297" s="71">
        <f t="shared" si="160"/>
        <v>0</v>
      </c>
      <c r="M297" s="71">
        <f t="shared" si="161"/>
        <v>0</v>
      </c>
      <c r="N297" s="77">
        <f t="shared" si="162"/>
        <v>0</v>
      </c>
      <c r="O297" s="17"/>
    </row>
    <row r="298" spans="1:15" x14ac:dyDescent="0.55000000000000004">
      <c r="A298" s="9"/>
      <c r="B298" s="10" t="s">
        <v>80</v>
      </c>
      <c r="C298" s="4" t="s">
        <v>76</v>
      </c>
      <c r="D298" s="5">
        <v>17</v>
      </c>
      <c r="E298" s="6">
        <v>708.16</v>
      </c>
      <c r="F298" s="16">
        <f t="shared" si="154"/>
        <v>12038.72</v>
      </c>
      <c r="G298" s="44">
        <v>2.7927739800670103E-4</v>
      </c>
      <c r="H298" s="57"/>
      <c r="I298" s="4" t="s">
        <v>76</v>
      </c>
      <c r="J298" s="71">
        <f t="shared" si="159"/>
        <v>0</v>
      </c>
      <c r="K298" s="71">
        <v>0</v>
      </c>
      <c r="L298" s="71">
        <f t="shared" si="160"/>
        <v>0</v>
      </c>
      <c r="M298" s="71">
        <f t="shared" si="161"/>
        <v>0</v>
      </c>
      <c r="N298" s="77">
        <f t="shared" si="162"/>
        <v>0</v>
      </c>
      <c r="O298" s="17"/>
    </row>
    <row r="299" spans="1:15" x14ac:dyDescent="0.55000000000000004">
      <c r="A299" s="9"/>
      <c r="B299" s="10" t="s">
        <v>81</v>
      </c>
      <c r="C299" s="4" t="s">
        <v>76</v>
      </c>
      <c r="D299" s="5">
        <v>2</v>
      </c>
      <c r="E299" s="6">
        <v>784.55</v>
      </c>
      <c r="F299" s="16">
        <f t="shared" si="154"/>
        <v>1569.1</v>
      </c>
      <c r="G299" s="44">
        <v>3.640039515931217E-5</v>
      </c>
      <c r="H299" s="57"/>
      <c r="I299" s="4" t="s">
        <v>76</v>
      </c>
      <c r="J299" s="71">
        <f t="shared" si="159"/>
        <v>0</v>
      </c>
      <c r="K299" s="71">
        <v>0</v>
      </c>
      <c r="L299" s="71">
        <f t="shared" si="160"/>
        <v>0</v>
      </c>
      <c r="M299" s="71">
        <f t="shared" si="161"/>
        <v>0</v>
      </c>
      <c r="N299" s="77">
        <f t="shared" si="162"/>
        <v>0</v>
      </c>
      <c r="O299" s="17"/>
    </row>
    <row r="300" spans="1:15" x14ac:dyDescent="0.55000000000000004">
      <c r="A300" s="9"/>
      <c r="B300" s="10" t="s">
        <v>82</v>
      </c>
      <c r="C300" s="4" t="s">
        <v>76</v>
      </c>
      <c r="D300" s="5">
        <v>10</v>
      </c>
      <c r="E300" s="6">
        <v>846.49</v>
      </c>
      <c r="F300" s="16">
        <f t="shared" si="154"/>
        <v>8464.9</v>
      </c>
      <c r="G300" s="44">
        <v>1.9637098016956318E-4</v>
      </c>
      <c r="H300" s="57"/>
      <c r="I300" s="4" t="s">
        <v>76</v>
      </c>
      <c r="J300" s="71">
        <f t="shared" si="159"/>
        <v>0</v>
      </c>
      <c r="K300" s="71">
        <v>0</v>
      </c>
      <c r="L300" s="71">
        <f t="shared" si="160"/>
        <v>0</v>
      </c>
      <c r="M300" s="71">
        <f t="shared" si="161"/>
        <v>0</v>
      </c>
      <c r="N300" s="77">
        <f t="shared" si="162"/>
        <v>0</v>
      </c>
      <c r="O300" s="17"/>
    </row>
    <row r="301" spans="1:15" x14ac:dyDescent="0.55000000000000004">
      <c r="A301" s="9"/>
      <c r="B301" s="10" t="s">
        <v>83</v>
      </c>
      <c r="C301" s="4" t="s">
        <v>76</v>
      </c>
      <c r="D301" s="5">
        <v>5</v>
      </c>
      <c r="E301" s="6">
        <v>896.03</v>
      </c>
      <c r="F301" s="16">
        <f t="shared" si="154"/>
        <v>4480.1499999999996</v>
      </c>
      <c r="G301" s="44">
        <v>1.0393169993817628E-4</v>
      </c>
      <c r="H301" s="57"/>
      <c r="I301" s="4" t="s">
        <v>76</v>
      </c>
      <c r="J301" s="71">
        <f t="shared" si="159"/>
        <v>0</v>
      </c>
      <c r="K301" s="71">
        <v>0</v>
      </c>
      <c r="L301" s="71">
        <f t="shared" si="160"/>
        <v>0</v>
      </c>
      <c r="M301" s="71">
        <f t="shared" si="161"/>
        <v>0</v>
      </c>
      <c r="N301" s="77">
        <f t="shared" si="162"/>
        <v>0</v>
      </c>
      <c r="O301" s="17"/>
    </row>
    <row r="302" spans="1:15" x14ac:dyDescent="0.55000000000000004">
      <c r="A302" s="9"/>
      <c r="B302" s="10" t="s">
        <v>84</v>
      </c>
      <c r="C302" s="4" t="s">
        <v>76</v>
      </c>
      <c r="D302" s="5">
        <v>13</v>
      </c>
      <c r="E302" s="6">
        <v>1011.66</v>
      </c>
      <c r="F302" s="16">
        <f t="shared" si="154"/>
        <v>13151.58</v>
      </c>
      <c r="G302" s="44">
        <v>3.0509381745542457E-4</v>
      </c>
      <c r="H302" s="57"/>
      <c r="I302" s="4" t="s">
        <v>76</v>
      </c>
      <c r="J302" s="71">
        <f t="shared" si="159"/>
        <v>0</v>
      </c>
      <c r="K302" s="71">
        <v>0</v>
      </c>
      <c r="L302" s="71">
        <f t="shared" si="160"/>
        <v>0</v>
      </c>
      <c r="M302" s="71">
        <f t="shared" si="161"/>
        <v>0</v>
      </c>
      <c r="N302" s="77">
        <f t="shared" si="162"/>
        <v>0</v>
      </c>
      <c r="O302" s="17"/>
    </row>
    <row r="303" spans="1:15" x14ac:dyDescent="0.55000000000000004">
      <c r="A303" s="9"/>
      <c r="B303" s="10"/>
      <c r="C303" s="4"/>
      <c r="D303" s="5"/>
      <c r="E303" s="6"/>
      <c r="F303" s="16"/>
      <c r="G303" s="44"/>
      <c r="H303" s="57"/>
      <c r="I303" s="4"/>
      <c r="J303" s="71"/>
      <c r="K303" s="14"/>
      <c r="L303" s="71"/>
      <c r="M303" s="71"/>
      <c r="N303" s="77"/>
      <c r="O303" s="17"/>
    </row>
    <row r="304" spans="1:15" x14ac:dyDescent="0.55000000000000004">
      <c r="A304" s="9"/>
      <c r="B304" s="10" t="s">
        <v>86</v>
      </c>
      <c r="C304" s="4" t="s">
        <v>5</v>
      </c>
      <c r="D304" s="5">
        <v>1</v>
      </c>
      <c r="E304" s="6">
        <v>59135.149999999994</v>
      </c>
      <c r="F304" s="16">
        <f t="shared" si="154"/>
        <v>59135.149999999994</v>
      </c>
      <c r="G304" s="44">
        <v>1.3718327880983996E-3</v>
      </c>
      <c r="H304" s="57">
        <v>1</v>
      </c>
      <c r="I304" s="4" t="s">
        <v>5</v>
      </c>
      <c r="J304" s="71"/>
      <c r="K304" s="71">
        <v>0</v>
      </c>
      <c r="L304" s="71">
        <f t="shared" ref="L304" si="163">H304*J304</f>
        <v>0</v>
      </c>
      <c r="M304" s="71">
        <f t="shared" ref="M304" si="164">K304+L304</f>
        <v>0</v>
      </c>
      <c r="N304" s="77">
        <f t="shared" ref="N304" si="165">M304/43106674.89</f>
        <v>0</v>
      </c>
      <c r="O304" s="17"/>
    </row>
    <row r="305" spans="1:15" x14ac:dyDescent="0.55000000000000004">
      <c r="A305" s="9"/>
      <c r="B305" s="10"/>
      <c r="C305" s="4"/>
      <c r="D305" s="5"/>
      <c r="E305" s="6"/>
      <c r="F305" s="16"/>
      <c r="G305" s="44"/>
      <c r="H305" s="57"/>
      <c r="I305" s="4"/>
      <c r="J305" s="71"/>
      <c r="K305" s="14"/>
      <c r="L305" s="71"/>
      <c r="M305" s="71"/>
      <c r="N305" s="77"/>
      <c r="O305" s="17"/>
    </row>
    <row r="306" spans="1:15" x14ac:dyDescent="0.55000000000000004">
      <c r="A306" s="9"/>
      <c r="B306" s="10" t="s">
        <v>87</v>
      </c>
      <c r="C306" s="4" t="s">
        <v>88</v>
      </c>
      <c r="D306" s="5">
        <v>20</v>
      </c>
      <c r="E306" s="6">
        <v>3207.4800000000005</v>
      </c>
      <c r="F306" s="16">
        <f t="shared" si="154"/>
        <v>64149.600000000006</v>
      </c>
      <c r="G306" s="44">
        <v>1.4881593201910726E-3</v>
      </c>
      <c r="H306" s="57"/>
      <c r="I306" s="4" t="s">
        <v>88</v>
      </c>
      <c r="J306" s="71">
        <f t="shared" ref="J306" si="166">H306*E306</f>
        <v>0</v>
      </c>
      <c r="K306" s="71">
        <v>0</v>
      </c>
      <c r="L306" s="71">
        <f t="shared" ref="L306" si="167">H306*J306</f>
        <v>0</v>
      </c>
      <c r="M306" s="71">
        <f t="shared" ref="M306" si="168">K306+L306</f>
        <v>0</v>
      </c>
      <c r="N306" s="77">
        <f t="shared" ref="N306" si="169">M306/43106674.89</f>
        <v>0</v>
      </c>
      <c r="O306" s="17"/>
    </row>
    <row r="307" spans="1:15" x14ac:dyDescent="0.55000000000000004">
      <c r="A307" s="9"/>
      <c r="B307" s="10"/>
      <c r="C307" s="4"/>
      <c r="D307" s="5"/>
      <c r="E307" s="6"/>
      <c r="F307" s="16"/>
      <c r="G307" s="44"/>
      <c r="H307" s="57"/>
      <c r="I307" s="4"/>
      <c r="J307" s="71"/>
      <c r="K307" s="14"/>
      <c r="L307" s="71"/>
      <c r="M307" s="71"/>
      <c r="N307" s="77"/>
      <c r="O307" s="17"/>
    </row>
    <row r="308" spans="1:15" x14ac:dyDescent="0.55000000000000004">
      <c r="A308" s="9"/>
      <c r="B308" s="10" t="s">
        <v>89</v>
      </c>
      <c r="C308" s="4" t="s">
        <v>5</v>
      </c>
      <c r="D308" s="5">
        <v>1</v>
      </c>
      <c r="E308" s="6">
        <v>19711.72</v>
      </c>
      <c r="F308" s="16">
        <f t="shared" si="154"/>
        <v>19711.72</v>
      </c>
      <c r="G308" s="44">
        <v>4.5727767336034472E-4</v>
      </c>
      <c r="H308" s="57">
        <v>1</v>
      </c>
      <c r="I308" s="4" t="s">
        <v>5</v>
      </c>
      <c r="J308" s="71"/>
      <c r="K308" s="71">
        <v>0</v>
      </c>
      <c r="L308" s="71">
        <f t="shared" ref="L308" si="170">H308*J308</f>
        <v>0</v>
      </c>
      <c r="M308" s="71">
        <f t="shared" ref="M308" si="171">K308+L308</f>
        <v>0</v>
      </c>
      <c r="N308" s="77">
        <f t="shared" ref="N308" si="172">M308/43106674.89</f>
        <v>0</v>
      </c>
      <c r="O308" s="17"/>
    </row>
    <row r="309" spans="1:15" x14ac:dyDescent="0.55000000000000004">
      <c r="A309" s="9"/>
      <c r="B309" s="10"/>
      <c r="C309" s="4"/>
      <c r="D309" s="5"/>
      <c r="E309" s="6"/>
      <c r="F309" s="16"/>
      <c r="G309" s="44"/>
      <c r="H309" s="57"/>
      <c r="I309" s="4"/>
      <c r="J309" s="71"/>
      <c r="K309" s="14"/>
      <c r="L309" s="71"/>
      <c r="M309" s="71"/>
      <c r="N309" s="77"/>
      <c r="O309" s="17"/>
    </row>
    <row r="310" spans="1:15" x14ac:dyDescent="0.55000000000000004">
      <c r="A310" s="9"/>
      <c r="B310" s="10" t="s">
        <v>90</v>
      </c>
      <c r="C310" s="4" t="s">
        <v>91</v>
      </c>
      <c r="D310" s="5">
        <v>3</v>
      </c>
      <c r="E310" s="6">
        <v>9622.41</v>
      </c>
      <c r="F310" s="16">
        <f t="shared" si="154"/>
        <v>28867.23</v>
      </c>
      <c r="G310" s="44">
        <v>6.696696062422733E-4</v>
      </c>
      <c r="H310" s="57"/>
      <c r="I310" s="4" t="s">
        <v>91</v>
      </c>
      <c r="J310" s="71">
        <f t="shared" ref="J310" si="173">H310*E310</f>
        <v>0</v>
      </c>
      <c r="K310" s="71">
        <v>0</v>
      </c>
      <c r="L310" s="71">
        <f t="shared" ref="L310" si="174">H310*J310</f>
        <v>0</v>
      </c>
      <c r="M310" s="71">
        <f t="shared" ref="M310" si="175">K310+L310</f>
        <v>0</v>
      </c>
      <c r="N310" s="77">
        <f t="shared" ref="N310" si="176">M310/43106674.89</f>
        <v>0</v>
      </c>
      <c r="O310" s="17"/>
    </row>
    <row r="311" spans="1:15" x14ac:dyDescent="0.55000000000000004">
      <c r="A311" s="9"/>
      <c r="B311" s="10"/>
      <c r="C311" s="4"/>
      <c r="D311" s="5"/>
      <c r="E311" s="6"/>
      <c r="F311" s="16"/>
      <c r="G311" s="44"/>
      <c r="H311" s="57"/>
      <c r="I311" s="4"/>
      <c r="J311" s="71"/>
      <c r="K311" s="14"/>
      <c r="L311" s="71"/>
      <c r="M311" s="71"/>
      <c r="N311" s="77"/>
      <c r="O311" s="17"/>
    </row>
    <row r="312" spans="1:15" x14ac:dyDescent="0.55000000000000004">
      <c r="A312" s="9"/>
      <c r="B312" s="10" t="s">
        <v>92</v>
      </c>
      <c r="C312" s="4"/>
      <c r="D312" s="5"/>
      <c r="E312" s="6"/>
      <c r="F312" s="16"/>
      <c r="G312" s="44"/>
      <c r="H312" s="57"/>
      <c r="I312" s="4"/>
      <c r="J312" s="71"/>
      <c r="K312" s="14"/>
      <c r="L312" s="71"/>
      <c r="M312" s="71"/>
      <c r="N312" s="77"/>
      <c r="O312" s="17"/>
    </row>
    <row r="313" spans="1:15" x14ac:dyDescent="0.55000000000000004">
      <c r="A313" s="9"/>
      <c r="B313" s="10" t="s">
        <v>93</v>
      </c>
      <c r="C313" s="4" t="s">
        <v>76</v>
      </c>
      <c r="D313" s="5">
        <v>33</v>
      </c>
      <c r="E313" s="6">
        <v>404.15000000000003</v>
      </c>
      <c r="F313" s="16">
        <f t="shared" si="154"/>
        <v>13336.95</v>
      </c>
      <c r="G313" s="44">
        <v>3.0939407954877859E-4</v>
      </c>
      <c r="H313" s="57"/>
      <c r="I313" s="4" t="s">
        <v>76</v>
      </c>
      <c r="J313" s="71">
        <f t="shared" ref="J313:J314" si="177">H313*E313</f>
        <v>0</v>
      </c>
      <c r="K313" s="71">
        <v>0</v>
      </c>
      <c r="L313" s="71">
        <f t="shared" ref="L313:L314" si="178">H313*J313</f>
        <v>0</v>
      </c>
      <c r="M313" s="71">
        <f t="shared" ref="M313:M314" si="179">K313+L313</f>
        <v>0</v>
      </c>
      <c r="N313" s="77">
        <f t="shared" ref="N313:N314" si="180">M313/43106674.89</f>
        <v>0</v>
      </c>
      <c r="O313" s="17"/>
    </row>
    <row r="314" spans="1:15" x14ac:dyDescent="0.55000000000000004">
      <c r="A314" s="9"/>
      <c r="B314" s="10" t="s">
        <v>94</v>
      </c>
      <c r="C314" s="4" t="s">
        <v>76</v>
      </c>
      <c r="D314" s="5">
        <v>12</v>
      </c>
      <c r="E314" s="6">
        <v>641.82999999999993</v>
      </c>
      <c r="F314" s="16">
        <f t="shared" si="154"/>
        <v>7701.9599999999991</v>
      </c>
      <c r="G314" s="44">
        <v>1.7867209706278497E-4</v>
      </c>
      <c r="H314" s="57"/>
      <c r="I314" s="4" t="s">
        <v>76</v>
      </c>
      <c r="J314" s="71">
        <f t="shared" si="177"/>
        <v>0</v>
      </c>
      <c r="K314" s="71">
        <v>0</v>
      </c>
      <c r="L314" s="71">
        <f t="shared" si="178"/>
        <v>0</v>
      </c>
      <c r="M314" s="71">
        <f t="shared" si="179"/>
        <v>0</v>
      </c>
      <c r="N314" s="77">
        <f t="shared" si="180"/>
        <v>0</v>
      </c>
      <c r="O314" s="17"/>
    </row>
    <row r="315" spans="1:15" x14ac:dyDescent="0.55000000000000004">
      <c r="A315" s="9"/>
      <c r="B315" s="10"/>
      <c r="C315" s="4"/>
      <c r="D315" s="5"/>
      <c r="E315" s="6"/>
      <c r="F315" s="16"/>
      <c r="G315" s="44"/>
      <c r="H315" s="57"/>
      <c r="I315" s="4"/>
      <c r="J315" s="71"/>
      <c r="K315" s="71"/>
      <c r="L315" s="71"/>
      <c r="M315" s="71"/>
      <c r="N315" s="77"/>
      <c r="O315" s="17"/>
    </row>
    <row r="316" spans="1:15" x14ac:dyDescent="0.55000000000000004">
      <c r="A316" s="9"/>
      <c r="B316" s="10" t="s">
        <v>95</v>
      </c>
      <c r="C316" s="4"/>
      <c r="D316" s="5"/>
      <c r="E316" s="6"/>
      <c r="F316" s="16"/>
      <c r="G316" s="44"/>
      <c r="H316" s="57"/>
      <c r="I316" s="4"/>
      <c r="J316" s="71"/>
      <c r="K316" s="14"/>
      <c r="L316" s="71"/>
      <c r="M316" s="71"/>
      <c r="N316" s="77"/>
      <c r="O316" s="17"/>
    </row>
    <row r="317" spans="1:15" x14ac:dyDescent="0.55000000000000004">
      <c r="A317" s="9"/>
      <c r="B317" s="10" t="s">
        <v>96</v>
      </c>
      <c r="C317" s="4" t="s">
        <v>76</v>
      </c>
      <c r="D317" s="5">
        <v>66</v>
      </c>
      <c r="E317" s="6">
        <v>427.6699999999999</v>
      </c>
      <c r="F317" s="16">
        <f t="shared" si="154"/>
        <v>28226.219999999994</v>
      </c>
      <c r="G317" s="44">
        <v>6.5479928739639289E-4</v>
      </c>
      <c r="H317" s="57"/>
      <c r="I317" s="4" t="s">
        <v>76</v>
      </c>
      <c r="J317" s="71">
        <f t="shared" ref="J317:J318" si="181">H317*E317</f>
        <v>0</v>
      </c>
      <c r="K317" s="71">
        <v>0</v>
      </c>
      <c r="L317" s="71">
        <f t="shared" ref="L317:L318" si="182">H317*J317</f>
        <v>0</v>
      </c>
      <c r="M317" s="71">
        <f t="shared" ref="M317:M318" si="183">K317+L317</f>
        <v>0</v>
      </c>
      <c r="N317" s="77">
        <f t="shared" ref="N317:N318" si="184">M317/43106674.89</f>
        <v>0</v>
      </c>
      <c r="O317" s="17"/>
    </row>
    <row r="318" spans="1:15" x14ac:dyDescent="0.55000000000000004">
      <c r="A318" s="9"/>
      <c r="B318" s="10" t="s">
        <v>97</v>
      </c>
      <c r="C318" s="4" t="s">
        <v>76</v>
      </c>
      <c r="D318" s="5">
        <v>23</v>
      </c>
      <c r="E318" s="6">
        <v>812.56999999999982</v>
      </c>
      <c r="F318" s="16">
        <f t="shared" si="154"/>
        <v>18689.109999999997</v>
      </c>
      <c r="G318" s="44">
        <v>4.3355489718682847E-4</v>
      </c>
      <c r="H318" s="57"/>
      <c r="I318" s="4" t="s">
        <v>76</v>
      </c>
      <c r="J318" s="71">
        <f t="shared" si="181"/>
        <v>0</v>
      </c>
      <c r="K318" s="71">
        <v>0</v>
      </c>
      <c r="L318" s="71">
        <f t="shared" si="182"/>
        <v>0</v>
      </c>
      <c r="M318" s="71">
        <f t="shared" si="183"/>
        <v>0</v>
      </c>
      <c r="N318" s="77">
        <f t="shared" si="184"/>
        <v>0</v>
      </c>
      <c r="O318" s="17"/>
    </row>
    <row r="319" spans="1:15" x14ac:dyDescent="0.55000000000000004">
      <c r="A319" s="9"/>
      <c r="B319" s="10"/>
      <c r="C319" s="4"/>
      <c r="D319" s="5"/>
      <c r="E319" s="6"/>
      <c r="F319" s="16"/>
      <c r="G319" s="44"/>
      <c r="H319" s="57"/>
      <c r="I319" s="4"/>
      <c r="J319" s="71"/>
      <c r="K319" s="14"/>
      <c r="L319" s="71"/>
      <c r="M319" s="71"/>
      <c r="N319" s="77"/>
      <c r="O319" s="17"/>
    </row>
    <row r="320" spans="1:15" x14ac:dyDescent="0.55000000000000004">
      <c r="A320" s="9"/>
      <c r="B320" s="10" t="s">
        <v>98</v>
      </c>
      <c r="C320" s="4"/>
      <c r="D320" s="5"/>
      <c r="E320" s="6"/>
      <c r="F320" s="16"/>
      <c r="G320" s="44"/>
      <c r="H320" s="57"/>
      <c r="I320" s="4"/>
      <c r="J320" s="71"/>
      <c r="K320" s="14"/>
      <c r="L320" s="71"/>
      <c r="M320" s="71"/>
      <c r="N320" s="77"/>
      <c r="O320" s="17"/>
    </row>
    <row r="321" spans="1:15" x14ac:dyDescent="0.55000000000000004">
      <c r="A321" s="9"/>
      <c r="B321" s="10" t="s">
        <v>99</v>
      </c>
      <c r="C321" s="4" t="s">
        <v>91</v>
      </c>
      <c r="D321" s="5">
        <v>11</v>
      </c>
      <c r="E321" s="6">
        <v>30473.16</v>
      </c>
      <c r="F321" s="16">
        <f t="shared" si="154"/>
        <v>335204.76</v>
      </c>
      <c r="G321" s="44">
        <v>7.776168327883754E-3</v>
      </c>
      <c r="H321" s="57"/>
      <c r="I321" s="4" t="s">
        <v>91</v>
      </c>
      <c r="J321" s="71">
        <f t="shared" ref="J321" si="185">H321*E321</f>
        <v>0</v>
      </c>
      <c r="K321" s="71">
        <v>0</v>
      </c>
      <c r="L321" s="71">
        <f t="shared" ref="L321" si="186">H321*J321</f>
        <v>0</v>
      </c>
      <c r="M321" s="71">
        <f t="shared" ref="M321" si="187">K321+L321</f>
        <v>0</v>
      </c>
      <c r="N321" s="77">
        <f t="shared" ref="N321" si="188">M321/43106674.89</f>
        <v>0</v>
      </c>
      <c r="O321" s="17"/>
    </row>
    <row r="322" spans="1:15" x14ac:dyDescent="0.55000000000000004">
      <c r="A322" s="9"/>
      <c r="B322" s="10"/>
      <c r="C322" s="4"/>
      <c r="D322" s="5"/>
      <c r="E322" s="6"/>
      <c r="F322" s="16"/>
      <c r="G322" s="44"/>
      <c r="H322" s="57"/>
      <c r="I322" s="4"/>
      <c r="J322" s="71"/>
      <c r="K322" s="14"/>
      <c r="L322" s="71"/>
      <c r="M322" s="71"/>
      <c r="N322" s="77"/>
      <c r="O322" s="17"/>
    </row>
    <row r="323" spans="1:15" x14ac:dyDescent="0.55000000000000004">
      <c r="A323" s="9"/>
      <c r="B323" s="10" t="s">
        <v>100</v>
      </c>
      <c r="C323" s="4"/>
      <c r="D323" s="5"/>
      <c r="E323" s="6"/>
      <c r="F323" s="16"/>
      <c r="G323" s="44"/>
      <c r="H323" s="57"/>
      <c r="I323" s="4"/>
      <c r="J323" s="71"/>
      <c r="K323" s="14"/>
      <c r="L323" s="71"/>
      <c r="M323" s="71"/>
      <c r="N323" s="77"/>
      <c r="O323" s="17"/>
    </row>
    <row r="324" spans="1:15" x14ac:dyDescent="0.55000000000000004">
      <c r="A324" s="9"/>
      <c r="B324" s="10" t="s">
        <v>101</v>
      </c>
      <c r="C324" s="4" t="s">
        <v>76</v>
      </c>
      <c r="D324" s="5">
        <v>7</v>
      </c>
      <c r="E324" s="6">
        <v>192.45999999999998</v>
      </c>
      <c r="F324" s="16">
        <f t="shared" si="154"/>
        <v>1347.2199999999998</v>
      </c>
      <c r="G324" s="44">
        <v>3.1253164467865996E-5</v>
      </c>
      <c r="H324" s="57"/>
      <c r="I324" s="4" t="s">
        <v>76</v>
      </c>
      <c r="J324" s="71">
        <f t="shared" ref="J324:J327" si="189">H324*E324</f>
        <v>0</v>
      </c>
      <c r="K324" s="71">
        <v>0</v>
      </c>
      <c r="L324" s="71">
        <f t="shared" ref="L324:L327" si="190">H324*J324</f>
        <v>0</v>
      </c>
      <c r="M324" s="71">
        <f t="shared" ref="M324:M327" si="191">K324+L324</f>
        <v>0</v>
      </c>
      <c r="N324" s="77">
        <f t="shared" ref="N324:N327" si="192">M324/43106674.89</f>
        <v>0</v>
      </c>
      <c r="O324" s="17"/>
    </row>
    <row r="325" spans="1:15" x14ac:dyDescent="0.55000000000000004">
      <c r="A325" s="9"/>
      <c r="B325" s="10" t="s">
        <v>102</v>
      </c>
      <c r="C325" s="4" t="s">
        <v>76</v>
      </c>
      <c r="D325" s="5">
        <v>6</v>
      </c>
      <c r="E325" s="6">
        <v>53.47</v>
      </c>
      <c r="F325" s="16">
        <f t="shared" si="154"/>
        <v>320.82</v>
      </c>
      <c r="G325" s="44">
        <v>7.4424668759228412E-6</v>
      </c>
      <c r="H325" s="57"/>
      <c r="I325" s="4" t="s">
        <v>76</v>
      </c>
      <c r="J325" s="71">
        <f t="shared" si="189"/>
        <v>0</v>
      </c>
      <c r="K325" s="71">
        <v>0</v>
      </c>
      <c r="L325" s="71">
        <f t="shared" si="190"/>
        <v>0</v>
      </c>
      <c r="M325" s="71">
        <f t="shared" si="191"/>
        <v>0</v>
      </c>
      <c r="N325" s="77">
        <f t="shared" si="192"/>
        <v>0</v>
      </c>
      <c r="O325" s="17"/>
    </row>
    <row r="326" spans="1:15" x14ac:dyDescent="0.55000000000000004">
      <c r="A326" s="9"/>
      <c r="B326" s="10" t="s">
        <v>104</v>
      </c>
      <c r="C326" s="4" t="s">
        <v>76</v>
      </c>
      <c r="D326" s="5">
        <v>7</v>
      </c>
      <c r="E326" s="6">
        <v>43.63</v>
      </c>
      <c r="F326" s="16">
        <f t="shared" si="154"/>
        <v>305.41000000000003</v>
      </c>
      <c r="G326" s="44">
        <v>7.0849816363555732E-6</v>
      </c>
      <c r="H326" s="57"/>
      <c r="I326" s="4" t="s">
        <v>76</v>
      </c>
      <c r="J326" s="71">
        <f t="shared" si="189"/>
        <v>0</v>
      </c>
      <c r="K326" s="71">
        <v>0</v>
      </c>
      <c r="L326" s="71">
        <f t="shared" si="190"/>
        <v>0</v>
      </c>
      <c r="M326" s="71">
        <f t="shared" si="191"/>
        <v>0</v>
      </c>
      <c r="N326" s="77">
        <f t="shared" si="192"/>
        <v>0</v>
      </c>
      <c r="O326" s="17"/>
    </row>
    <row r="327" spans="1:15" x14ac:dyDescent="0.55000000000000004">
      <c r="A327" s="9"/>
      <c r="B327" s="10" t="s">
        <v>105</v>
      </c>
      <c r="C327" s="4" t="s">
        <v>76</v>
      </c>
      <c r="D327" s="5">
        <v>2</v>
      </c>
      <c r="E327" s="6">
        <v>213.84</v>
      </c>
      <c r="F327" s="16">
        <f t="shared" si="154"/>
        <v>427.68</v>
      </c>
      <c r="G327" s="44">
        <v>9.9214333068221453E-6</v>
      </c>
      <c r="H327" s="57"/>
      <c r="I327" s="4" t="s">
        <v>76</v>
      </c>
      <c r="J327" s="71">
        <f t="shared" si="189"/>
        <v>0</v>
      </c>
      <c r="K327" s="71">
        <v>0</v>
      </c>
      <c r="L327" s="71">
        <f t="shared" si="190"/>
        <v>0</v>
      </c>
      <c r="M327" s="71">
        <f t="shared" si="191"/>
        <v>0</v>
      </c>
      <c r="N327" s="77">
        <f t="shared" si="192"/>
        <v>0</v>
      </c>
      <c r="O327" s="17"/>
    </row>
    <row r="328" spans="1:15" x14ac:dyDescent="0.55000000000000004">
      <c r="A328" s="9"/>
      <c r="B328" s="10"/>
      <c r="C328" s="4"/>
      <c r="D328" s="5"/>
      <c r="E328" s="6"/>
      <c r="F328" s="16"/>
      <c r="G328" s="44"/>
      <c r="H328" s="57"/>
      <c r="I328" s="4"/>
      <c r="J328" s="71"/>
      <c r="K328" s="14"/>
      <c r="L328" s="71"/>
      <c r="M328" s="71"/>
      <c r="N328" s="77"/>
      <c r="O328" s="17"/>
    </row>
    <row r="329" spans="1:15" x14ac:dyDescent="0.55000000000000004">
      <c r="A329" s="9"/>
      <c r="B329" s="10" t="s">
        <v>106</v>
      </c>
      <c r="C329" s="4"/>
      <c r="D329" s="5"/>
      <c r="E329" s="6"/>
      <c r="F329" s="16"/>
      <c r="G329" s="44"/>
      <c r="H329" s="57"/>
      <c r="I329" s="4"/>
      <c r="J329" s="71"/>
      <c r="K329" s="14"/>
      <c r="L329" s="71"/>
      <c r="M329" s="71"/>
      <c r="N329" s="77"/>
      <c r="O329" s="17"/>
    </row>
    <row r="330" spans="1:15" x14ac:dyDescent="0.55000000000000004">
      <c r="A330" s="9"/>
      <c r="B330" s="10" t="s">
        <v>107</v>
      </c>
      <c r="C330" s="4"/>
      <c r="D330" s="5"/>
      <c r="E330" s="6"/>
      <c r="F330" s="16"/>
      <c r="G330" s="44"/>
      <c r="H330" s="57"/>
      <c r="I330" s="4"/>
      <c r="J330" s="71"/>
      <c r="K330" s="14"/>
      <c r="L330" s="71"/>
      <c r="M330" s="71"/>
      <c r="N330" s="77"/>
      <c r="O330" s="17"/>
    </row>
    <row r="331" spans="1:15" x14ac:dyDescent="0.55000000000000004">
      <c r="A331" s="9"/>
      <c r="B331" s="10" t="s">
        <v>108</v>
      </c>
      <c r="C331" s="4" t="s">
        <v>109</v>
      </c>
      <c r="D331" s="5">
        <v>78</v>
      </c>
      <c r="E331" s="6">
        <v>404.15</v>
      </c>
      <c r="F331" s="16">
        <f t="shared" si="154"/>
        <v>31523.699999999997</v>
      </c>
      <c r="G331" s="44">
        <v>7.3129509711529473E-4</v>
      </c>
      <c r="H331" s="57"/>
      <c r="I331" s="4" t="s">
        <v>109</v>
      </c>
      <c r="J331" s="71">
        <f t="shared" ref="J331:J333" si="193">H331*E331</f>
        <v>0</v>
      </c>
      <c r="K331" s="71">
        <v>0</v>
      </c>
      <c r="L331" s="71">
        <f t="shared" ref="L331:L333" si="194">H331*J331</f>
        <v>0</v>
      </c>
      <c r="M331" s="71">
        <f t="shared" ref="M331:M333" si="195">K331+L331</f>
        <v>0</v>
      </c>
      <c r="N331" s="77">
        <f t="shared" ref="N331:N333" si="196">M331/43106674.89</f>
        <v>0</v>
      </c>
      <c r="O331" s="17"/>
    </row>
    <row r="332" spans="1:15" x14ac:dyDescent="0.55000000000000004">
      <c r="A332" s="9"/>
      <c r="B332" s="10" t="s">
        <v>110</v>
      </c>
      <c r="C332" s="4" t="s">
        <v>109</v>
      </c>
      <c r="D332" s="5">
        <v>444</v>
      </c>
      <c r="E332" s="6">
        <v>65.86999999999999</v>
      </c>
      <c r="F332" s="16">
        <f t="shared" si="154"/>
        <v>29246.279999999995</v>
      </c>
      <c r="G332" s="44">
        <v>6.7846290799814424E-4</v>
      </c>
      <c r="H332" s="57"/>
      <c r="I332" s="4" t="s">
        <v>109</v>
      </c>
      <c r="J332" s="71">
        <f t="shared" si="193"/>
        <v>0</v>
      </c>
      <c r="K332" s="71">
        <v>0</v>
      </c>
      <c r="L332" s="71">
        <f t="shared" si="194"/>
        <v>0</v>
      </c>
      <c r="M332" s="71">
        <f t="shared" si="195"/>
        <v>0</v>
      </c>
      <c r="N332" s="77">
        <f t="shared" si="196"/>
        <v>0</v>
      </c>
      <c r="O332" s="17"/>
    </row>
    <row r="333" spans="1:15" x14ac:dyDescent="0.55000000000000004">
      <c r="A333" s="9"/>
      <c r="B333" s="10" t="s">
        <v>111</v>
      </c>
      <c r="C333" s="4" t="s">
        <v>91</v>
      </c>
      <c r="D333" s="5">
        <v>26</v>
      </c>
      <c r="E333" s="6">
        <v>32.090000000000003</v>
      </c>
      <c r="F333" s="16">
        <f t="shared" si="154"/>
        <v>834.34000000000015</v>
      </c>
      <c r="G333" s="44">
        <v>1.9355239116194327E-5</v>
      </c>
      <c r="H333" s="57"/>
      <c r="I333" s="4" t="s">
        <v>91</v>
      </c>
      <c r="J333" s="71">
        <f t="shared" si="193"/>
        <v>0</v>
      </c>
      <c r="K333" s="71">
        <v>0</v>
      </c>
      <c r="L333" s="71">
        <f t="shared" si="194"/>
        <v>0</v>
      </c>
      <c r="M333" s="71">
        <f t="shared" si="195"/>
        <v>0</v>
      </c>
      <c r="N333" s="77">
        <f t="shared" si="196"/>
        <v>0</v>
      </c>
      <c r="O333" s="17"/>
    </row>
    <row r="334" spans="1:15" x14ac:dyDescent="0.55000000000000004">
      <c r="A334" s="9"/>
      <c r="B334" s="10" t="s">
        <v>112</v>
      </c>
      <c r="C334" s="4"/>
      <c r="D334" s="5"/>
      <c r="E334" s="6"/>
      <c r="F334" s="16"/>
      <c r="G334" s="44"/>
      <c r="H334" s="57"/>
      <c r="I334" s="4"/>
      <c r="J334" s="71"/>
      <c r="K334" s="14"/>
      <c r="L334" s="71"/>
      <c r="M334" s="71"/>
      <c r="N334" s="77"/>
      <c r="O334" s="17"/>
    </row>
    <row r="335" spans="1:15" x14ac:dyDescent="0.55000000000000004">
      <c r="A335" s="9"/>
      <c r="B335" s="10" t="s">
        <v>113</v>
      </c>
      <c r="C335" s="4" t="s">
        <v>109</v>
      </c>
      <c r="D335" s="5">
        <v>291</v>
      </c>
      <c r="E335" s="6">
        <v>80.84</v>
      </c>
      <c r="F335" s="16">
        <f t="shared" si="154"/>
        <v>23524.440000000002</v>
      </c>
      <c r="G335" s="44">
        <v>5.4572615633262996E-4</v>
      </c>
      <c r="H335" s="57"/>
      <c r="I335" s="4" t="s">
        <v>109</v>
      </c>
      <c r="J335" s="71">
        <f t="shared" ref="J335:J338" si="197">H335*E335</f>
        <v>0</v>
      </c>
      <c r="K335" s="71">
        <v>0</v>
      </c>
      <c r="L335" s="71">
        <f t="shared" ref="L335:L338" si="198">H335*J335</f>
        <v>0</v>
      </c>
      <c r="M335" s="71">
        <f t="shared" ref="M335:M338" si="199">K335+L335</f>
        <v>0</v>
      </c>
      <c r="N335" s="77">
        <f t="shared" ref="N335:N338" si="200">M335/43106674.89</f>
        <v>0</v>
      </c>
      <c r="O335" s="17"/>
    </row>
    <row r="336" spans="1:15" x14ac:dyDescent="0.55000000000000004">
      <c r="A336" s="9"/>
      <c r="B336" s="10" t="s">
        <v>114</v>
      </c>
      <c r="C336" s="4" t="s">
        <v>109</v>
      </c>
      <c r="D336" s="5">
        <v>63</v>
      </c>
      <c r="E336" s="6">
        <v>78.489999999999995</v>
      </c>
      <c r="F336" s="16">
        <f t="shared" si="154"/>
        <v>4944.87</v>
      </c>
      <c r="G336" s="44">
        <v>1.1471239692271236E-4</v>
      </c>
      <c r="H336" s="57"/>
      <c r="I336" s="4" t="s">
        <v>109</v>
      </c>
      <c r="J336" s="71">
        <f t="shared" si="197"/>
        <v>0</v>
      </c>
      <c r="K336" s="71">
        <v>0</v>
      </c>
      <c r="L336" s="71">
        <f t="shared" si="198"/>
        <v>0</v>
      </c>
      <c r="M336" s="71">
        <f t="shared" si="199"/>
        <v>0</v>
      </c>
      <c r="N336" s="77">
        <f t="shared" si="200"/>
        <v>0</v>
      </c>
      <c r="O336" s="17"/>
    </row>
    <row r="337" spans="1:15" x14ac:dyDescent="0.55000000000000004">
      <c r="A337" s="9"/>
      <c r="B337" s="10" t="s">
        <v>115</v>
      </c>
      <c r="C337" s="4" t="s">
        <v>109</v>
      </c>
      <c r="D337" s="5">
        <v>26</v>
      </c>
      <c r="E337" s="6">
        <v>120.11</v>
      </c>
      <c r="F337" s="16">
        <f t="shared" si="154"/>
        <v>3122.86</v>
      </c>
      <c r="G337" s="44">
        <v>7.2444928957497677E-5</v>
      </c>
      <c r="H337" s="57"/>
      <c r="I337" s="4" t="s">
        <v>109</v>
      </c>
      <c r="J337" s="71">
        <f t="shared" si="197"/>
        <v>0</v>
      </c>
      <c r="K337" s="71">
        <v>0</v>
      </c>
      <c r="L337" s="71">
        <f t="shared" si="198"/>
        <v>0</v>
      </c>
      <c r="M337" s="71">
        <f t="shared" si="199"/>
        <v>0</v>
      </c>
      <c r="N337" s="77">
        <f t="shared" si="200"/>
        <v>0</v>
      </c>
      <c r="O337" s="17"/>
    </row>
    <row r="338" spans="1:15" x14ac:dyDescent="0.55000000000000004">
      <c r="A338" s="9"/>
      <c r="B338" s="10" t="s">
        <v>116</v>
      </c>
      <c r="C338" s="4" t="s">
        <v>109</v>
      </c>
      <c r="D338" s="5">
        <v>59</v>
      </c>
      <c r="E338" s="6">
        <v>789.47</v>
      </c>
      <c r="F338" s="16">
        <f t="shared" si="154"/>
        <v>46578.73</v>
      </c>
      <c r="G338" s="44">
        <v>1.0805456491102597E-3</v>
      </c>
      <c r="H338" s="57"/>
      <c r="I338" s="4" t="s">
        <v>109</v>
      </c>
      <c r="J338" s="71">
        <f t="shared" si="197"/>
        <v>0</v>
      </c>
      <c r="K338" s="71">
        <v>0</v>
      </c>
      <c r="L338" s="71">
        <f t="shared" si="198"/>
        <v>0</v>
      </c>
      <c r="M338" s="71">
        <f t="shared" si="199"/>
        <v>0</v>
      </c>
      <c r="N338" s="77">
        <f t="shared" si="200"/>
        <v>0</v>
      </c>
      <c r="O338" s="17"/>
    </row>
    <row r="339" spans="1:15" x14ac:dyDescent="0.55000000000000004">
      <c r="A339" s="9"/>
      <c r="B339" s="10" t="s">
        <v>117</v>
      </c>
      <c r="C339" s="4"/>
      <c r="D339" s="5"/>
      <c r="E339" s="6"/>
      <c r="F339" s="16"/>
      <c r="G339" s="44"/>
      <c r="H339" s="57"/>
      <c r="I339" s="4"/>
      <c r="J339" s="71"/>
      <c r="K339" s="14"/>
      <c r="L339" s="71"/>
      <c r="M339" s="71"/>
      <c r="N339" s="77"/>
      <c r="O339" s="17"/>
    </row>
    <row r="340" spans="1:15" x14ac:dyDescent="0.55000000000000004">
      <c r="A340" s="9"/>
      <c r="B340" s="10" t="s">
        <v>118</v>
      </c>
      <c r="C340" s="4" t="s">
        <v>109</v>
      </c>
      <c r="D340" s="5">
        <v>65</v>
      </c>
      <c r="E340" s="6">
        <v>78.489999999999995</v>
      </c>
      <c r="F340" s="16">
        <f t="shared" si="154"/>
        <v>5101.8499999999995</v>
      </c>
      <c r="G340" s="44">
        <v>1.1835406031708417E-4</v>
      </c>
      <c r="H340" s="57"/>
      <c r="I340" s="4" t="s">
        <v>109</v>
      </c>
      <c r="J340" s="71">
        <f t="shared" ref="J340:J341" si="201">H340*E340</f>
        <v>0</v>
      </c>
      <c r="K340" s="71">
        <v>0</v>
      </c>
      <c r="L340" s="71">
        <f t="shared" ref="L340:L341" si="202">H340*J340</f>
        <v>0</v>
      </c>
      <c r="M340" s="71">
        <f t="shared" ref="M340:M341" si="203">K340+L340</f>
        <v>0</v>
      </c>
      <c r="N340" s="77">
        <f t="shared" ref="N340:N341" si="204">M340/43106674.89</f>
        <v>0</v>
      </c>
      <c r="O340" s="17"/>
    </row>
    <row r="341" spans="1:15" x14ac:dyDescent="0.55000000000000004">
      <c r="A341" s="9"/>
      <c r="B341" s="10" t="s">
        <v>119</v>
      </c>
      <c r="C341" s="4" t="s">
        <v>109</v>
      </c>
      <c r="D341" s="5">
        <v>20</v>
      </c>
      <c r="E341" s="6">
        <v>187.88</v>
      </c>
      <c r="F341" s="16">
        <f t="shared" si="154"/>
        <v>3757.6</v>
      </c>
      <c r="G341" s="44">
        <v>8.7169794691626664E-5</v>
      </c>
      <c r="H341" s="57"/>
      <c r="I341" s="4" t="s">
        <v>109</v>
      </c>
      <c r="J341" s="71">
        <f t="shared" si="201"/>
        <v>0</v>
      </c>
      <c r="K341" s="71">
        <v>0</v>
      </c>
      <c r="L341" s="71">
        <f t="shared" si="202"/>
        <v>0</v>
      </c>
      <c r="M341" s="71">
        <f t="shared" si="203"/>
        <v>0</v>
      </c>
      <c r="N341" s="77">
        <f t="shared" si="204"/>
        <v>0</v>
      </c>
      <c r="O341" s="17"/>
    </row>
    <row r="342" spans="1:15" x14ac:dyDescent="0.55000000000000004">
      <c r="A342" s="9"/>
      <c r="B342" s="10"/>
      <c r="C342" s="4"/>
      <c r="D342" s="5"/>
      <c r="E342" s="6"/>
      <c r="F342" s="16"/>
      <c r="G342" s="44"/>
      <c r="H342" s="57"/>
      <c r="I342" s="4"/>
      <c r="J342" s="71"/>
      <c r="K342" s="14"/>
      <c r="L342" s="71"/>
      <c r="M342" s="71"/>
      <c r="N342" s="77"/>
      <c r="O342" s="17"/>
    </row>
    <row r="343" spans="1:15" x14ac:dyDescent="0.55000000000000004">
      <c r="A343" s="9" t="s">
        <v>168</v>
      </c>
      <c r="B343" s="10" t="s">
        <v>121</v>
      </c>
      <c r="C343" s="4"/>
      <c r="D343" s="5"/>
      <c r="E343" s="6"/>
      <c r="F343" s="16"/>
      <c r="G343" s="44"/>
      <c r="H343" s="57"/>
      <c r="I343" s="4"/>
      <c r="J343" s="71"/>
      <c r="K343" s="14"/>
      <c r="L343" s="71"/>
      <c r="M343" s="71"/>
      <c r="N343" s="77"/>
      <c r="O343" s="17"/>
    </row>
    <row r="344" spans="1:15" x14ac:dyDescent="0.55000000000000004">
      <c r="A344" s="9"/>
      <c r="B344" s="10" t="s">
        <v>122</v>
      </c>
      <c r="C344" s="4" t="s">
        <v>91</v>
      </c>
      <c r="D344" s="5">
        <v>20</v>
      </c>
      <c r="E344" s="6">
        <v>1389.91</v>
      </c>
      <c r="F344" s="16">
        <f t="shared" si="154"/>
        <v>27798.2</v>
      </c>
      <c r="G344" s="44">
        <v>6.4486996668000228E-4</v>
      </c>
      <c r="H344" s="57"/>
      <c r="I344" s="4" t="s">
        <v>91</v>
      </c>
      <c r="J344" s="71">
        <f t="shared" ref="J344:J357" si="205">H344*E344</f>
        <v>0</v>
      </c>
      <c r="K344" s="71">
        <v>0</v>
      </c>
      <c r="L344" s="71">
        <f t="shared" ref="L344:L357" si="206">H344*J344</f>
        <v>0</v>
      </c>
      <c r="M344" s="71">
        <f t="shared" ref="M344:M357" si="207">K344+L344</f>
        <v>0</v>
      </c>
      <c r="N344" s="77">
        <f t="shared" ref="N344:N357" si="208">M344/43106674.89</f>
        <v>0</v>
      </c>
      <c r="O344" s="17"/>
    </row>
    <row r="345" spans="1:15" x14ac:dyDescent="0.55000000000000004">
      <c r="A345" s="9"/>
      <c r="B345" s="10" t="s">
        <v>123</v>
      </c>
      <c r="C345" s="4" t="s">
        <v>76</v>
      </c>
      <c r="D345" s="5">
        <v>7</v>
      </c>
      <c r="E345" s="6">
        <v>2523.2200000000003</v>
      </c>
      <c r="F345" s="16">
        <f t="shared" si="154"/>
        <v>17662.54</v>
      </c>
      <c r="G345" s="44">
        <v>4.0974025589010106E-4</v>
      </c>
      <c r="H345" s="57"/>
      <c r="I345" s="4" t="s">
        <v>76</v>
      </c>
      <c r="J345" s="71">
        <f t="shared" si="205"/>
        <v>0</v>
      </c>
      <c r="K345" s="71">
        <v>0</v>
      </c>
      <c r="L345" s="71">
        <f t="shared" si="206"/>
        <v>0</v>
      </c>
      <c r="M345" s="71">
        <f t="shared" si="207"/>
        <v>0</v>
      </c>
      <c r="N345" s="77">
        <f t="shared" si="208"/>
        <v>0</v>
      </c>
      <c r="O345" s="17"/>
    </row>
    <row r="346" spans="1:15" x14ac:dyDescent="0.55000000000000004">
      <c r="A346" s="9"/>
      <c r="B346" s="10" t="s">
        <v>124</v>
      </c>
      <c r="C346" s="4" t="s">
        <v>125</v>
      </c>
      <c r="D346" s="5">
        <v>15</v>
      </c>
      <c r="E346" s="6">
        <v>277.99</v>
      </c>
      <c r="F346" s="16">
        <f t="shared" si="154"/>
        <v>4169.8500000000004</v>
      </c>
      <c r="G346" s="44">
        <v>9.6733278793612813E-5</v>
      </c>
      <c r="H346" s="57"/>
      <c r="I346" s="4" t="s">
        <v>125</v>
      </c>
      <c r="J346" s="71">
        <f t="shared" si="205"/>
        <v>0</v>
      </c>
      <c r="K346" s="71">
        <v>0</v>
      </c>
      <c r="L346" s="71">
        <f t="shared" si="206"/>
        <v>0</v>
      </c>
      <c r="M346" s="71">
        <f t="shared" si="207"/>
        <v>0</v>
      </c>
      <c r="N346" s="77">
        <f t="shared" si="208"/>
        <v>0</v>
      </c>
      <c r="O346" s="17"/>
    </row>
    <row r="347" spans="1:15" x14ac:dyDescent="0.55000000000000004">
      <c r="A347" s="9"/>
      <c r="B347" s="10" t="s">
        <v>126</v>
      </c>
      <c r="C347" s="4" t="s">
        <v>127</v>
      </c>
      <c r="D347" s="5">
        <v>30</v>
      </c>
      <c r="E347" s="6">
        <v>374.21999999999997</v>
      </c>
      <c r="F347" s="16">
        <f t="shared" ref="F347:F409" si="209">D347*E347</f>
        <v>11226.599999999999</v>
      </c>
      <c r="G347" s="44">
        <v>2.6043762430408128E-4</v>
      </c>
      <c r="H347" s="57"/>
      <c r="I347" s="4" t="s">
        <v>127</v>
      </c>
      <c r="J347" s="71">
        <f t="shared" si="205"/>
        <v>0</v>
      </c>
      <c r="K347" s="71">
        <v>0</v>
      </c>
      <c r="L347" s="71">
        <f t="shared" si="206"/>
        <v>0</v>
      </c>
      <c r="M347" s="71">
        <f t="shared" si="207"/>
        <v>0</v>
      </c>
      <c r="N347" s="77">
        <f t="shared" si="208"/>
        <v>0</v>
      </c>
      <c r="O347" s="17"/>
    </row>
    <row r="348" spans="1:15" x14ac:dyDescent="0.55000000000000004">
      <c r="A348" s="9"/>
      <c r="B348" s="10" t="s">
        <v>128</v>
      </c>
      <c r="C348" s="4" t="s">
        <v>76</v>
      </c>
      <c r="D348" s="5">
        <v>65</v>
      </c>
      <c r="E348" s="6">
        <v>171.07</v>
      </c>
      <c r="F348" s="16">
        <f t="shared" si="209"/>
        <v>11119.55</v>
      </c>
      <c r="G348" s="44">
        <v>2.5795425020312896E-4</v>
      </c>
      <c r="H348" s="57"/>
      <c r="I348" s="4" t="s">
        <v>76</v>
      </c>
      <c r="J348" s="71">
        <f t="shared" si="205"/>
        <v>0</v>
      </c>
      <c r="K348" s="71">
        <v>0</v>
      </c>
      <c r="L348" s="71">
        <f t="shared" si="206"/>
        <v>0</v>
      </c>
      <c r="M348" s="71">
        <f t="shared" si="207"/>
        <v>0</v>
      </c>
      <c r="N348" s="77">
        <f t="shared" si="208"/>
        <v>0</v>
      </c>
      <c r="O348" s="17"/>
    </row>
    <row r="349" spans="1:15" x14ac:dyDescent="0.55000000000000004">
      <c r="A349" s="9"/>
      <c r="B349" s="10" t="s">
        <v>129</v>
      </c>
      <c r="C349" s="4" t="s">
        <v>91</v>
      </c>
      <c r="D349" s="5">
        <v>32</v>
      </c>
      <c r="E349" s="6">
        <v>21.39</v>
      </c>
      <c r="F349" s="16">
        <f t="shared" si="209"/>
        <v>684.48</v>
      </c>
      <c r="G349" s="44">
        <v>1.5878747357495374E-5</v>
      </c>
      <c r="H349" s="57"/>
      <c r="I349" s="4" t="s">
        <v>91</v>
      </c>
      <c r="J349" s="71">
        <f t="shared" si="205"/>
        <v>0</v>
      </c>
      <c r="K349" s="71">
        <v>0</v>
      </c>
      <c r="L349" s="71">
        <f t="shared" si="206"/>
        <v>0</v>
      </c>
      <c r="M349" s="71">
        <f t="shared" si="207"/>
        <v>0</v>
      </c>
      <c r="N349" s="77">
        <f t="shared" si="208"/>
        <v>0</v>
      </c>
      <c r="O349" s="17"/>
    </row>
    <row r="350" spans="1:15" x14ac:dyDescent="0.55000000000000004">
      <c r="A350" s="9"/>
      <c r="B350" s="10" t="s">
        <v>130</v>
      </c>
      <c r="C350" s="4" t="s">
        <v>91</v>
      </c>
      <c r="D350" s="5">
        <v>32</v>
      </c>
      <c r="E350" s="6">
        <v>10.699999999999998</v>
      </c>
      <c r="F350" s="16">
        <f t="shared" si="209"/>
        <v>342.39999999999992</v>
      </c>
      <c r="G350" s="44">
        <v>7.9430854008976387E-6</v>
      </c>
      <c r="H350" s="57"/>
      <c r="I350" s="4" t="s">
        <v>91</v>
      </c>
      <c r="J350" s="71">
        <f t="shared" si="205"/>
        <v>0</v>
      </c>
      <c r="K350" s="71">
        <v>0</v>
      </c>
      <c r="L350" s="71">
        <f t="shared" si="206"/>
        <v>0</v>
      </c>
      <c r="M350" s="71">
        <f t="shared" si="207"/>
        <v>0</v>
      </c>
      <c r="N350" s="77">
        <f t="shared" si="208"/>
        <v>0</v>
      </c>
      <c r="O350" s="17"/>
    </row>
    <row r="351" spans="1:15" x14ac:dyDescent="0.55000000000000004">
      <c r="A351" s="9"/>
      <c r="B351" s="10" t="s">
        <v>131</v>
      </c>
      <c r="C351" s="4" t="s">
        <v>132</v>
      </c>
      <c r="D351" s="5">
        <v>1</v>
      </c>
      <c r="E351" s="6">
        <v>3432</v>
      </c>
      <c r="F351" s="16">
        <f t="shared" si="209"/>
        <v>3432</v>
      </c>
      <c r="G351" s="44">
        <v>7.9616440116474005E-5</v>
      </c>
      <c r="H351" s="57"/>
      <c r="I351" s="4" t="s">
        <v>132</v>
      </c>
      <c r="J351" s="71">
        <f t="shared" si="205"/>
        <v>0</v>
      </c>
      <c r="K351" s="71">
        <v>0</v>
      </c>
      <c r="L351" s="71">
        <f t="shared" si="206"/>
        <v>0</v>
      </c>
      <c r="M351" s="71">
        <f t="shared" si="207"/>
        <v>0</v>
      </c>
      <c r="N351" s="77">
        <f t="shared" si="208"/>
        <v>0</v>
      </c>
      <c r="O351" s="17"/>
    </row>
    <row r="352" spans="1:15" x14ac:dyDescent="0.55000000000000004">
      <c r="A352" s="9"/>
      <c r="B352" s="10" t="s">
        <v>133</v>
      </c>
      <c r="C352" s="4" t="s">
        <v>91</v>
      </c>
      <c r="D352" s="5">
        <v>244</v>
      </c>
      <c r="E352" s="6">
        <v>42.780000000000015</v>
      </c>
      <c r="F352" s="16">
        <f t="shared" si="209"/>
        <v>10438.320000000003</v>
      </c>
      <c r="G352" s="44">
        <v>2.4215089720180455E-4</v>
      </c>
      <c r="H352" s="57"/>
      <c r="I352" s="4" t="s">
        <v>91</v>
      </c>
      <c r="J352" s="71">
        <f t="shared" si="205"/>
        <v>0</v>
      </c>
      <c r="K352" s="71">
        <v>0</v>
      </c>
      <c r="L352" s="71">
        <f t="shared" si="206"/>
        <v>0</v>
      </c>
      <c r="M352" s="71">
        <f t="shared" si="207"/>
        <v>0</v>
      </c>
      <c r="N352" s="77">
        <f t="shared" si="208"/>
        <v>0</v>
      </c>
      <c r="O352" s="17"/>
    </row>
    <row r="353" spans="1:15" x14ac:dyDescent="0.55000000000000004">
      <c r="A353" s="9"/>
      <c r="B353" s="10" t="s">
        <v>134</v>
      </c>
      <c r="C353" s="4" t="s">
        <v>135</v>
      </c>
      <c r="D353" s="5">
        <v>5</v>
      </c>
      <c r="E353" s="6">
        <v>14497.769999999999</v>
      </c>
      <c r="F353" s="16">
        <f t="shared" si="209"/>
        <v>72488.849999999991</v>
      </c>
      <c r="G353" s="44">
        <v>1.6816154385597513E-3</v>
      </c>
      <c r="H353" s="57"/>
      <c r="I353" s="4" t="s">
        <v>135</v>
      </c>
      <c r="J353" s="71">
        <f t="shared" si="205"/>
        <v>0</v>
      </c>
      <c r="K353" s="71">
        <v>0</v>
      </c>
      <c r="L353" s="71">
        <f t="shared" si="206"/>
        <v>0</v>
      </c>
      <c r="M353" s="71">
        <f t="shared" si="207"/>
        <v>0</v>
      </c>
      <c r="N353" s="77">
        <f t="shared" si="208"/>
        <v>0</v>
      </c>
      <c r="O353" s="17"/>
    </row>
    <row r="354" spans="1:15" x14ac:dyDescent="0.55000000000000004">
      <c r="A354" s="9"/>
      <c r="B354" s="10" t="s">
        <v>136</v>
      </c>
      <c r="C354" s="4" t="s">
        <v>135</v>
      </c>
      <c r="D354" s="5">
        <v>3</v>
      </c>
      <c r="E354" s="6">
        <v>18175.66</v>
      </c>
      <c r="F354" s="16">
        <f t="shared" si="209"/>
        <v>54526.979999999996</v>
      </c>
      <c r="G354" s="44">
        <v>1.2649312464749929E-3</v>
      </c>
      <c r="H354" s="57"/>
      <c r="I354" s="4" t="s">
        <v>135</v>
      </c>
      <c r="J354" s="71">
        <f t="shared" si="205"/>
        <v>0</v>
      </c>
      <c r="K354" s="71">
        <v>0</v>
      </c>
      <c r="L354" s="71">
        <f t="shared" si="206"/>
        <v>0</v>
      </c>
      <c r="M354" s="71">
        <f t="shared" si="207"/>
        <v>0</v>
      </c>
      <c r="N354" s="77">
        <f t="shared" si="208"/>
        <v>0</v>
      </c>
      <c r="O354" s="17"/>
    </row>
    <row r="355" spans="1:15" x14ac:dyDescent="0.55000000000000004">
      <c r="A355" s="9"/>
      <c r="B355" s="10" t="s">
        <v>137</v>
      </c>
      <c r="C355" s="4" t="s">
        <v>135</v>
      </c>
      <c r="D355" s="5">
        <v>8</v>
      </c>
      <c r="E355" s="6">
        <v>812.56999999999994</v>
      </c>
      <c r="F355" s="16">
        <f t="shared" si="209"/>
        <v>6500.5599999999995</v>
      </c>
      <c r="G355" s="44">
        <v>1.5080170336933166E-4</v>
      </c>
      <c r="H355" s="57"/>
      <c r="I355" s="4" t="s">
        <v>135</v>
      </c>
      <c r="J355" s="71">
        <f t="shared" si="205"/>
        <v>0</v>
      </c>
      <c r="K355" s="71">
        <v>0</v>
      </c>
      <c r="L355" s="71">
        <f t="shared" si="206"/>
        <v>0</v>
      </c>
      <c r="M355" s="71">
        <f t="shared" si="207"/>
        <v>0</v>
      </c>
      <c r="N355" s="77">
        <f t="shared" si="208"/>
        <v>0</v>
      </c>
      <c r="O355" s="17"/>
    </row>
    <row r="356" spans="1:15" x14ac:dyDescent="0.55000000000000004">
      <c r="A356" s="9"/>
      <c r="B356" s="10" t="s">
        <v>138</v>
      </c>
      <c r="C356" s="4" t="s">
        <v>91</v>
      </c>
      <c r="D356" s="5">
        <v>98</v>
      </c>
      <c r="E356" s="6">
        <v>53.469999999999992</v>
      </c>
      <c r="F356" s="16">
        <f t="shared" si="209"/>
        <v>5240.0599999999995</v>
      </c>
      <c r="G356" s="44">
        <v>1.2156029230673973E-4</v>
      </c>
      <c r="H356" s="57"/>
      <c r="I356" s="4" t="s">
        <v>91</v>
      </c>
      <c r="J356" s="71">
        <f t="shared" si="205"/>
        <v>0</v>
      </c>
      <c r="K356" s="71">
        <v>0</v>
      </c>
      <c r="L356" s="71">
        <f t="shared" si="206"/>
        <v>0</v>
      </c>
      <c r="M356" s="71">
        <f t="shared" si="207"/>
        <v>0</v>
      </c>
      <c r="N356" s="77">
        <f t="shared" si="208"/>
        <v>0</v>
      </c>
      <c r="O356" s="17"/>
    </row>
    <row r="357" spans="1:15" x14ac:dyDescent="0.55000000000000004">
      <c r="A357" s="9"/>
      <c r="B357" s="10" t="s">
        <v>139</v>
      </c>
      <c r="C357" s="4" t="s">
        <v>91</v>
      </c>
      <c r="D357" s="5">
        <v>1</v>
      </c>
      <c r="E357" s="6">
        <v>213.84</v>
      </c>
      <c r="F357" s="16">
        <f t="shared" si="209"/>
        <v>213.84</v>
      </c>
      <c r="G357" s="44">
        <v>4.9607166534110727E-6</v>
      </c>
      <c r="H357" s="57"/>
      <c r="I357" s="4" t="s">
        <v>91</v>
      </c>
      <c r="J357" s="71">
        <f t="shared" si="205"/>
        <v>0</v>
      </c>
      <c r="K357" s="71">
        <v>0</v>
      </c>
      <c r="L357" s="71">
        <f t="shared" si="206"/>
        <v>0</v>
      </c>
      <c r="M357" s="71">
        <f t="shared" si="207"/>
        <v>0</v>
      </c>
      <c r="N357" s="77">
        <f t="shared" si="208"/>
        <v>0</v>
      </c>
      <c r="O357" s="17"/>
    </row>
    <row r="358" spans="1:15" x14ac:dyDescent="0.55000000000000004">
      <c r="A358" s="9"/>
      <c r="B358" s="10"/>
      <c r="C358" s="4"/>
      <c r="D358" s="5"/>
      <c r="E358" s="6"/>
      <c r="F358" s="16"/>
      <c r="G358" s="44"/>
      <c r="H358" s="57"/>
      <c r="I358" s="4"/>
      <c r="J358" s="71"/>
      <c r="K358" s="14"/>
      <c r="L358" s="71"/>
      <c r="M358" s="71"/>
      <c r="N358" s="77"/>
      <c r="O358" s="17"/>
    </row>
    <row r="359" spans="1:15" x14ac:dyDescent="0.55000000000000004">
      <c r="A359" s="9" t="s">
        <v>169</v>
      </c>
      <c r="B359" s="10" t="s">
        <v>141</v>
      </c>
      <c r="C359" s="4" t="s">
        <v>5</v>
      </c>
      <c r="D359" s="5">
        <v>1</v>
      </c>
      <c r="E359" s="6">
        <v>737348.8400000002</v>
      </c>
      <c r="F359" s="16">
        <f t="shared" si="209"/>
        <v>737348.8400000002</v>
      </c>
      <c r="G359" s="44">
        <v>1.7105212635434613E-2</v>
      </c>
      <c r="H359" s="57">
        <v>1</v>
      </c>
      <c r="I359" s="4" t="s">
        <v>5</v>
      </c>
      <c r="J359" s="71"/>
      <c r="K359" s="71">
        <v>0</v>
      </c>
      <c r="L359" s="71">
        <f t="shared" ref="L359" si="210">H359*J359</f>
        <v>0</v>
      </c>
      <c r="M359" s="71">
        <f t="shared" ref="M359" si="211">K359+L359</f>
        <v>0</v>
      </c>
      <c r="N359" s="77">
        <f t="shared" ref="N359" si="212">M359/43106674.89</f>
        <v>0</v>
      </c>
      <c r="O359" s="17"/>
    </row>
    <row r="360" spans="1:15" x14ac:dyDescent="0.55000000000000004">
      <c r="A360" s="9"/>
      <c r="B360" s="10"/>
      <c r="C360" s="4"/>
      <c r="D360" s="5"/>
      <c r="E360" s="6"/>
      <c r="F360" s="16"/>
      <c r="G360" s="44"/>
      <c r="H360" s="57"/>
      <c r="I360" s="4"/>
      <c r="J360" s="71"/>
      <c r="K360" s="14"/>
      <c r="L360" s="71"/>
      <c r="M360" s="71"/>
      <c r="N360" s="77"/>
      <c r="O360" s="17"/>
    </row>
    <row r="361" spans="1:15" x14ac:dyDescent="0.55000000000000004">
      <c r="A361" s="9" t="s">
        <v>170</v>
      </c>
      <c r="B361" s="10" t="s">
        <v>143</v>
      </c>
      <c r="C361" s="4" t="s">
        <v>5</v>
      </c>
      <c r="D361" s="5">
        <v>1</v>
      </c>
      <c r="E361" s="6">
        <v>5010.49</v>
      </c>
      <c r="F361" s="16">
        <f t="shared" si="209"/>
        <v>5010.49</v>
      </c>
      <c r="G361" s="44">
        <v>1.1623466696946148E-4</v>
      </c>
      <c r="H361" s="57">
        <v>1</v>
      </c>
      <c r="I361" s="4" t="s">
        <v>5</v>
      </c>
      <c r="J361" s="71"/>
      <c r="K361" s="71">
        <v>0</v>
      </c>
      <c r="L361" s="71">
        <f t="shared" ref="L361" si="213">H361*J361</f>
        <v>0</v>
      </c>
      <c r="M361" s="71">
        <f t="shared" ref="M361" si="214">K361+L361</f>
        <v>0</v>
      </c>
      <c r="N361" s="77">
        <f t="shared" ref="N361" si="215">M361/43106674.89</f>
        <v>0</v>
      </c>
      <c r="O361" s="17"/>
    </row>
    <row r="362" spans="1:15" x14ac:dyDescent="0.55000000000000004">
      <c r="A362" s="9"/>
      <c r="B362" s="10"/>
      <c r="C362" s="4"/>
      <c r="D362" s="5"/>
      <c r="E362" s="6"/>
      <c r="F362" s="16"/>
      <c r="G362" s="44"/>
      <c r="H362" s="57"/>
      <c r="I362" s="4"/>
      <c r="J362" s="71"/>
      <c r="K362" s="14"/>
      <c r="L362" s="71"/>
      <c r="M362" s="71"/>
      <c r="N362" s="77"/>
      <c r="O362" s="17"/>
    </row>
    <row r="363" spans="1:15" x14ac:dyDescent="0.55000000000000004">
      <c r="A363" s="9" t="s">
        <v>171</v>
      </c>
      <c r="B363" s="10" t="s">
        <v>145</v>
      </c>
      <c r="C363" s="4" t="s">
        <v>5</v>
      </c>
      <c r="D363" s="5">
        <v>1</v>
      </c>
      <c r="E363" s="6">
        <v>38342.14</v>
      </c>
      <c r="F363" s="16">
        <f t="shared" si="209"/>
        <v>38342.14</v>
      </c>
      <c r="G363" s="44">
        <v>8.8947106446604391E-4</v>
      </c>
      <c r="H363" s="57">
        <v>1</v>
      </c>
      <c r="I363" s="4" t="s">
        <v>5</v>
      </c>
      <c r="J363" s="71"/>
      <c r="K363" s="71">
        <v>0</v>
      </c>
      <c r="L363" s="71">
        <f t="shared" ref="L363" si="216">H363*J363</f>
        <v>0</v>
      </c>
      <c r="M363" s="71">
        <f t="shared" ref="M363" si="217">K363+L363</f>
        <v>0</v>
      </c>
      <c r="N363" s="77">
        <f t="shared" ref="N363" si="218">M363/43106674.89</f>
        <v>0</v>
      </c>
      <c r="O363" s="17"/>
    </row>
    <row r="364" spans="1:15" x14ac:dyDescent="0.55000000000000004">
      <c r="A364" s="9"/>
      <c r="B364" s="10"/>
      <c r="C364" s="4"/>
      <c r="D364" s="5"/>
      <c r="E364" s="6"/>
      <c r="F364" s="16"/>
      <c r="G364" s="44"/>
      <c r="H364" s="57"/>
      <c r="I364" s="4"/>
      <c r="J364" s="71"/>
      <c r="K364" s="14"/>
      <c r="L364" s="71"/>
      <c r="M364" s="71"/>
      <c r="N364" s="77"/>
      <c r="O364" s="17"/>
    </row>
    <row r="365" spans="1:15" x14ac:dyDescent="0.55000000000000004">
      <c r="A365" s="9" t="s">
        <v>172</v>
      </c>
      <c r="B365" s="10" t="s">
        <v>173</v>
      </c>
      <c r="C365" s="4"/>
      <c r="D365" s="5"/>
      <c r="E365" s="6"/>
      <c r="F365" s="16"/>
      <c r="G365" s="44"/>
      <c r="H365" s="57"/>
      <c r="I365" s="4"/>
      <c r="J365" s="71"/>
      <c r="K365" s="14"/>
      <c r="L365" s="71"/>
      <c r="M365" s="71"/>
      <c r="N365" s="77"/>
      <c r="O365" s="17"/>
    </row>
    <row r="366" spans="1:15" x14ac:dyDescent="0.55000000000000004">
      <c r="A366" s="9"/>
      <c r="B366" s="10" t="s">
        <v>174</v>
      </c>
      <c r="C366" s="4" t="s">
        <v>61</v>
      </c>
      <c r="D366" s="5">
        <v>3</v>
      </c>
      <c r="E366" s="6">
        <v>789317.19</v>
      </c>
      <c r="F366" s="16">
        <f t="shared" si="209"/>
        <v>2367951.5699999998</v>
      </c>
      <c r="G366" s="44">
        <v>5.4932364327393825E-2</v>
      </c>
      <c r="H366" s="57"/>
      <c r="I366" s="4" t="s">
        <v>61</v>
      </c>
      <c r="J366" s="71">
        <f t="shared" ref="J366:J369" si="219">H366*E366</f>
        <v>0</v>
      </c>
      <c r="K366" s="71">
        <v>0</v>
      </c>
      <c r="L366" s="71">
        <f t="shared" ref="L366:L369" si="220">H366*J366</f>
        <v>0</v>
      </c>
      <c r="M366" s="71">
        <f t="shared" ref="M366:M369" si="221">K366+L366</f>
        <v>0</v>
      </c>
      <c r="N366" s="77">
        <f t="shared" ref="N366:N369" si="222">M366/43106674.89</f>
        <v>0</v>
      </c>
      <c r="O366" s="17"/>
    </row>
    <row r="367" spans="1:15" ht="42.3" x14ac:dyDescent="0.55000000000000004">
      <c r="A367" s="9"/>
      <c r="B367" s="10" t="s">
        <v>165</v>
      </c>
      <c r="C367" s="4" t="s">
        <v>61</v>
      </c>
      <c r="D367" s="5">
        <v>6</v>
      </c>
      <c r="E367" s="6">
        <v>55087.339999999989</v>
      </c>
      <c r="F367" s="16">
        <f t="shared" si="209"/>
        <v>330524.03999999992</v>
      </c>
      <c r="G367" s="44">
        <v>7.6675837522479761E-3</v>
      </c>
      <c r="H367" s="57"/>
      <c r="I367" s="4" t="s">
        <v>61</v>
      </c>
      <c r="J367" s="71">
        <f t="shared" si="219"/>
        <v>0</v>
      </c>
      <c r="K367" s="71">
        <v>0</v>
      </c>
      <c r="L367" s="71">
        <f t="shared" si="220"/>
        <v>0</v>
      </c>
      <c r="M367" s="71">
        <f t="shared" si="221"/>
        <v>0</v>
      </c>
      <c r="N367" s="77">
        <f t="shared" si="222"/>
        <v>0</v>
      </c>
      <c r="O367" s="17"/>
    </row>
    <row r="368" spans="1:15" ht="42.3" x14ac:dyDescent="0.55000000000000004">
      <c r="A368" s="9"/>
      <c r="B368" s="10" t="s">
        <v>166</v>
      </c>
      <c r="C368" s="4" t="s">
        <v>61</v>
      </c>
      <c r="D368" s="5">
        <v>4</v>
      </c>
      <c r="E368" s="6">
        <v>56222.86</v>
      </c>
      <c r="F368" s="16">
        <f t="shared" si="209"/>
        <v>224891.44</v>
      </c>
      <c r="G368" s="44">
        <v>5.2170908698914937E-3</v>
      </c>
      <c r="H368" s="57"/>
      <c r="I368" s="4" t="s">
        <v>61</v>
      </c>
      <c r="J368" s="71">
        <f t="shared" si="219"/>
        <v>0</v>
      </c>
      <c r="K368" s="71">
        <v>0</v>
      </c>
      <c r="L368" s="71">
        <f t="shared" si="220"/>
        <v>0</v>
      </c>
      <c r="M368" s="71">
        <f t="shared" si="221"/>
        <v>0</v>
      </c>
      <c r="N368" s="77">
        <f t="shared" si="222"/>
        <v>0</v>
      </c>
      <c r="O368" s="17"/>
    </row>
    <row r="369" spans="1:15" ht="42.3" x14ac:dyDescent="0.55000000000000004">
      <c r="A369" s="9"/>
      <c r="B369" s="10" t="s">
        <v>167</v>
      </c>
      <c r="C369" s="4" t="s">
        <v>61</v>
      </c>
      <c r="D369" s="5">
        <v>2</v>
      </c>
      <c r="E369" s="6">
        <v>87530.69</v>
      </c>
      <c r="F369" s="16">
        <f t="shared" si="209"/>
        <v>175061.38</v>
      </c>
      <c r="G369" s="44">
        <v>4.061120010919959E-3</v>
      </c>
      <c r="H369" s="57"/>
      <c r="I369" s="4" t="s">
        <v>61</v>
      </c>
      <c r="J369" s="71">
        <f t="shared" si="219"/>
        <v>0</v>
      </c>
      <c r="K369" s="71">
        <v>0</v>
      </c>
      <c r="L369" s="71">
        <f t="shared" si="220"/>
        <v>0</v>
      </c>
      <c r="M369" s="71">
        <f t="shared" si="221"/>
        <v>0</v>
      </c>
      <c r="N369" s="77">
        <f t="shared" si="222"/>
        <v>0</v>
      </c>
      <c r="O369" s="17"/>
    </row>
    <row r="370" spans="1:15" x14ac:dyDescent="0.55000000000000004">
      <c r="A370" s="9"/>
      <c r="B370" s="10"/>
      <c r="C370" s="4"/>
      <c r="D370" s="5"/>
      <c r="E370" s="6"/>
      <c r="F370" s="16"/>
      <c r="G370" s="44"/>
      <c r="H370" s="57"/>
      <c r="I370" s="4"/>
      <c r="J370" s="71"/>
      <c r="K370" s="14"/>
      <c r="L370" s="71"/>
      <c r="M370" s="71"/>
      <c r="N370" s="77"/>
      <c r="O370" s="17"/>
    </row>
    <row r="371" spans="1:15" x14ac:dyDescent="0.55000000000000004">
      <c r="A371" s="9"/>
      <c r="B371" s="10" t="s">
        <v>65</v>
      </c>
      <c r="C371" s="4"/>
      <c r="D371" s="5"/>
      <c r="E371" s="6"/>
      <c r="F371" s="16"/>
      <c r="G371" s="44"/>
      <c r="H371" s="57"/>
      <c r="I371" s="4"/>
      <c r="J371" s="71"/>
      <c r="K371" s="14"/>
      <c r="L371" s="71"/>
      <c r="M371" s="71"/>
      <c r="N371" s="77"/>
      <c r="O371" s="17"/>
    </row>
    <row r="372" spans="1:15" x14ac:dyDescent="0.55000000000000004">
      <c r="A372" s="9"/>
      <c r="B372" s="10" t="s">
        <v>152</v>
      </c>
      <c r="C372" s="4" t="s">
        <v>61</v>
      </c>
      <c r="D372" s="5">
        <v>12</v>
      </c>
      <c r="E372" s="6">
        <v>11760.720000000001</v>
      </c>
      <c r="F372" s="16">
        <f t="shared" si="209"/>
        <v>141128.64000000001</v>
      </c>
      <c r="G372" s="44">
        <v>3.27393936925391E-3</v>
      </c>
      <c r="H372" s="57"/>
      <c r="I372" s="4" t="s">
        <v>61</v>
      </c>
      <c r="J372" s="71">
        <f t="shared" ref="J372:J379" si="223">H372*E372</f>
        <v>0</v>
      </c>
      <c r="K372" s="71">
        <v>0</v>
      </c>
      <c r="L372" s="71">
        <f t="shared" ref="L372:L379" si="224">H372*J372</f>
        <v>0</v>
      </c>
      <c r="M372" s="71">
        <f t="shared" ref="M372:M379" si="225">K372+L372</f>
        <v>0</v>
      </c>
      <c r="N372" s="77">
        <f t="shared" ref="N372:N379" si="226">M372/43106674.89</f>
        <v>0</v>
      </c>
      <c r="O372" s="17"/>
    </row>
    <row r="373" spans="1:15" x14ac:dyDescent="0.55000000000000004">
      <c r="A373" s="9"/>
      <c r="B373" s="10" t="s">
        <v>67</v>
      </c>
      <c r="C373" s="4" t="s">
        <v>61</v>
      </c>
      <c r="D373" s="5">
        <v>2</v>
      </c>
      <c r="E373" s="6">
        <v>22345.370000000003</v>
      </c>
      <c r="F373" s="16">
        <f t="shared" si="209"/>
        <v>44690.740000000005</v>
      </c>
      <c r="G373" s="44">
        <v>1.0367475597234585E-3</v>
      </c>
      <c r="H373" s="57"/>
      <c r="I373" s="4" t="s">
        <v>61</v>
      </c>
      <c r="J373" s="71">
        <f t="shared" si="223"/>
        <v>0</v>
      </c>
      <c r="K373" s="71">
        <v>0</v>
      </c>
      <c r="L373" s="71">
        <f t="shared" si="224"/>
        <v>0</v>
      </c>
      <c r="M373" s="71">
        <f t="shared" si="225"/>
        <v>0</v>
      </c>
      <c r="N373" s="77">
        <f t="shared" si="226"/>
        <v>0</v>
      </c>
      <c r="O373" s="17"/>
    </row>
    <row r="374" spans="1:15" x14ac:dyDescent="0.55000000000000004">
      <c r="A374" s="9"/>
      <c r="B374" s="10" t="s">
        <v>68</v>
      </c>
      <c r="C374" s="4" t="s">
        <v>61</v>
      </c>
      <c r="D374" s="5">
        <v>4</v>
      </c>
      <c r="E374" s="6">
        <v>4351.47</v>
      </c>
      <c r="F374" s="16">
        <f t="shared" si="209"/>
        <v>17405.88</v>
      </c>
      <c r="G374" s="44">
        <v>4.0378618959630903E-4</v>
      </c>
      <c r="H374" s="57"/>
      <c r="I374" s="4" t="s">
        <v>61</v>
      </c>
      <c r="J374" s="71">
        <f t="shared" si="223"/>
        <v>0</v>
      </c>
      <c r="K374" s="71">
        <v>0</v>
      </c>
      <c r="L374" s="71">
        <f t="shared" si="224"/>
        <v>0</v>
      </c>
      <c r="M374" s="71">
        <f t="shared" si="225"/>
        <v>0</v>
      </c>
      <c r="N374" s="77">
        <f t="shared" si="226"/>
        <v>0</v>
      </c>
      <c r="O374" s="17"/>
    </row>
    <row r="375" spans="1:15" x14ac:dyDescent="0.55000000000000004">
      <c r="A375" s="9"/>
      <c r="B375" s="10" t="s">
        <v>69</v>
      </c>
      <c r="C375" s="4" t="s">
        <v>61</v>
      </c>
      <c r="D375" s="5">
        <v>1</v>
      </c>
      <c r="E375" s="6">
        <v>4939.5100000000011</v>
      </c>
      <c r="F375" s="16">
        <f t="shared" si="209"/>
        <v>4939.5100000000011</v>
      </c>
      <c r="G375" s="44">
        <v>1.1458805423068899E-4</v>
      </c>
      <c r="H375" s="57"/>
      <c r="I375" s="4" t="s">
        <v>61</v>
      </c>
      <c r="J375" s="71">
        <f t="shared" si="223"/>
        <v>0</v>
      </c>
      <c r="K375" s="71">
        <v>0</v>
      </c>
      <c r="L375" s="71">
        <f t="shared" si="224"/>
        <v>0</v>
      </c>
      <c r="M375" s="71">
        <f t="shared" si="225"/>
        <v>0</v>
      </c>
      <c r="N375" s="77">
        <f t="shared" si="226"/>
        <v>0</v>
      </c>
      <c r="O375" s="17"/>
    </row>
    <row r="376" spans="1:15" x14ac:dyDescent="0.55000000000000004">
      <c r="A376" s="9"/>
      <c r="B376" s="10" t="s">
        <v>153</v>
      </c>
      <c r="C376" s="4" t="s">
        <v>61</v>
      </c>
      <c r="D376" s="5">
        <v>3</v>
      </c>
      <c r="E376" s="6">
        <v>8232.51</v>
      </c>
      <c r="F376" s="16">
        <f t="shared" si="209"/>
        <v>24697.53</v>
      </c>
      <c r="G376" s="44">
        <v>5.7293980718817607E-4</v>
      </c>
      <c r="H376" s="57"/>
      <c r="I376" s="4" t="s">
        <v>61</v>
      </c>
      <c r="J376" s="71">
        <f t="shared" si="223"/>
        <v>0</v>
      </c>
      <c r="K376" s="71">
        <v>0</v>
      </c>
      <c r="L376" s="71">
        <f t="shared" si="224"/>
        <v>0</v>
      </c>
      <c r="M376" s="71">
        <f t="shared" si="225"/>
        <v>0</v>
      </c>
      <c r="N376" s="77">
        <f t="shared" si="226"/>
        <v>0</v>
      </c>
      <c r="O376" s="17"/>
    </row>
    <row r="377" spans="1:15" x14ac:dyDescent="0.55000000000000004">
      <c r="A377" s="9"/>
      <c r="B377" s="10" t="s">
        <v>154</v>
      </c>
      <c r="C377" s="4" t="s">
        <v>61</v>
      </c>
      <c r="D377" s="5">
        <v>3</v>
      </c>
      <c r="E377" s="6">
        <v>14112.87</v>
      </c>
      <c r="F377" s="16">
        <f t="shared" si="209"/>
        <v>42338.61</v>
      </c>
      <c r="G377" s="44">
        <v>9.8218222834491487E-4</v>
      </c>
      <c r="H377" s="57"/>
      <c r="I377" s="4" t="s">
        <v>61</v>
      </c>
      <c r="J377" s="71">
        <f t="shared" si="223"/>
        <v>0</v>
      </c>
      <c r="K377" s="71">
        <v>0</v>
      </c>
      <c r="L377" s="71">
        <f t="shared" si="224"/>
        <v>0</v>
      </c>
      <c r="M377" s="71">
        <f t="shared" si="225"/>
        <v>0</v>
      </c>
      <c r="N377" s="77">
        <f t="shared" si="226"/>
        <v>0</v>
      </c>
      <c r="O377" s="17"/>
    </row>
    <row r="378" spans="1:15" x14ac:dyDescent="0.55000000000000004">
      <c r="A378" s="9"/>
      <c r="B378" s="10" t="s">
        <v>72</v>
      </c>
      <c r="C378" s="4" t="s">
        <v>61</v>
      </c>
      <c r="D378" s="5">
        <v>3</v>
      </c>
      <c r="E378" s="6">
        <v>5997.9700000000012</v>
      </c>
      <c r="F378" s="16">
        <f t="shared" si="209"/>
        <v>17993.910000000003</v>
      </c>
      <c r="G378" s="44">
        <v>4.1742746444528643E-4</v>
      </c>
      <c r="H378" s="57"/>
      <c r="I378" s="4" t="s">
        <v>61</v>
      </c>
      <c r="J378" s="71">
        <f t="shared" si="223"/>
        <v>0</v>
      </c>
      <c r="K378" s="71">
        <v>0</v>
      </c>
      <c r="L378" s="71">
        <f t="shared" si="224"/>
        <v>0</v>
      </c>
      <c r="M378" s="71">
        <f t="shared" si="225"/>
        <v>0</v>
      </c>
      <c r="N378" s="77">
        <f t="shared" si="226"/>
        <v>0</v>
      </c>
      <c r="O378" s="17"/>
    </row>
    <row r="379" spans="1:15" x14ac:dyDescent="0.55000000000000004">
      <c r="A379" s="9"/>
      <c r="B379" s="10" t="s">
        <v>73</v>
      </c>
      <c r="C379" s="4" t="s">
        <v>61</v>
      </c>
      <c r="D379" s="5">
        <v>1</v>
      </c>
      <c r="E379" s="6">
        <v>39751.22</v>
      </c>
      <c r="F379" s="16">
        <f t="shared" si="209"/>
        <v>39751.22</v>
      </c>
      <c r="G379" s="44">
        <v>9.221592735101352E-4</v>
      </c>
      <c r="H379" s="57"/>
      <c r="I379" s="4" t="s">
        <v>61</v>
      </c>
      <c r="J379" s="71">
        <f t="shared" si="223"/>
        <v>0</v>
      </c>
      <c r="K379" s="71">
        <v>0</v>
      </c>
      <c r="L379" s="71">
        <f t="shared" si="224"/>
        <v>0</v>
      </c>
      <c r="M379" s="71">
        <f t="shared" si="225"/>
        <v>0</v>
      </c>
      <c r="N379" s="77">
        <f t="shared" si="226"/>
        <v>0</v>
      </c>
      <c r="O379" s="17"/>
    </row>
    <row r="380" spans="1:15" x14ac:dyDescent="0.55000000000000004">
      <c r="A380" s="9"/>
      <c r="B380" s="10"/>
      <c r="C380" s="4"/>
      <c r="D380" s="5"/>
      <c r="E380" s="6"/>
      <c r="F380" s="16"/>
      <c r="G380" s="44"/>
      <c r="H380" s="57"/>
      <c r="I380" s="4"/>
      <c r="J380" s="71"/>
      <c r="K380" s="14"/>
      <c r="L380" s="71"/>
      <c r="M380" s="71"/>
      <c r="N380" s="77"/>
      <c r="O380" s="17"/>
    </row>
    <row r="381" spans="1:15" x14ac:dyDescent="0.55000000000000004">
      <c r="A381" s="9"/>
      <c r="B381" s="10" t="s">
        <v>74</v>
      </c>
      <c r="C381" s="4"/>
      <c r="D381" s="5"/>
      <c r="E381" s="6"/>
      <c r="F381" s="16"/>
      <c r="G381" s="44"/>
      <c r="H381" s="57"/>
      <c r="I381" s="4"/>
      <c r="J381" s="71"/>
      <c r="K381" s="14"/>
      <c r="L381" s="71"/>
      <c r="M381" s="71"/>
      <c r="N381" s="77"/>
      <c r="O381" s="17"/>
    </row>
    <row r="382" spans="1:15" x14ac:dyDescent="0.55000000000000004">
      <c r="A382" s="9"/>
      <c r="B382" s="10" t="s">
        <v>75</v>
      </c>
      <c r="C382" s="4" t="s">
        <v>76</v>
      </c>
      <c r="D382" s="5">
        <v>8</v>
      </c>
      <c r="E382" s="6">
        <v>2120.33</v>
      </c>
      <c r="F382" s="16">
        <f t="shared" si="209"/>
        <v>16962.64</v>
      </c>
      <c r="G382" s="44">
        <v>3.9350379131040405E-4</v>
      </c>
      <c r="H382" s="57"/>
      <c r="I382" s="4" t="s">
        <v>76</v>
      </c>
      <c r="J382" s="71">
        <f t="shared" ref="J382:J390" si="227">H382*E382</f>
        <v>0</v>
      </c>
      <c r="K382" s="71">
        <v>0</v>
      </c>
      <c r="L382" s="71">
        <f t="shared" ref="L382:L390" si="228">H382*J382</f>
        <v>0</v>
      </c>
      <c r="M382" s="71">
        <f t="shared" ref="M382:M390" si="229">K382+L382</f>
        <v>0</v>
      </c>
      <c r="N382" s="77">
        <f t="shared" ref="N382:N390" si="230">M382/43106674.89</f>
        <v>0</v>
      </c>
      <c r="O382" s="17"/>
    </row>
    <row r="383" spans="1:15" x14ac:dyDescent="0.55000000000000004">
      <c r="A383" s="9"/>
      <c r="B383" s="10" t="s">
        <v>77</v>
      </c>
      <c r="C383" s="4" t="s">
        <v>76</v>
      </c>
      <c r="D383" s="5">
        <v>12</v>
      </c>
      <c r="E383" s="6">
        <v>2952.3500000000004</v>
      </c>
      <c r="F383" s="16">
        <f t="shared" si="209"/>
        <v>35428.200000000004</v>
      </c>
      <c r="G383" s="44">
        <v>8.2187271670584633E-4</v>
      </c>
      <c r="H383" s="57"/>
      <c r="I383" s="4" t="s">
        <v>76</v>
      </c>
      <c r="J383" s="71">
        <f t="shared" si="227"/>
        <v>0</v>
      </c>
      <c r="K383" s="71">
        <v>0</v>
      </c>
      <c r="L383" s="71">
        <f t="shared" si="228"/>
        <v>0</v>
      </c>
      <c r="M383" s="71">
        <f t="shared" si="229"/>
        <v>0</v>
      </c>
      <c r="N383" s="77">
        <f t="shared" si="230"/>
        <v>0</v>
      </c>
      <c r="O383" s="17"/>
    </row>
    <row r="384" spans="1:15" x14ac:dyDescent="0.55000000000000004">
      <c r="A384" s="9"/>
      <c r="B384" s="10" t="s">
        <v>78</v>
      </c>
      <c r="C384" s="4" t="s">
        <v>76</v>
      </c>
      <c r="D384" s="5">
        <v>10</v>
      </c>
      <c r="E384" s="6">
        <v>4696.92</v>
      </c>
      <c r="F384" s="16">
        <f t="shared" si="209"/>
        <v>46969.2</v>
      </c>
      <c r="G384" s="44">
        <v>1.0896038750345836E-3</v>
      </c>
      <c r="H384" s="57"/>
      <c r="I384" s="4" t="s">
        <v>76</v>
      </c>
      <c r="J384" s="71">
        <f t="shared" si="227"/>
        <v>0</v>
      </c>
      <c r="K384" s="71">
        <v>0</v>
      </c>
      <c r="L384" s="71">
        <f t="shared" si="228"/>
        <v>0</v>
      </c>
      <c r="M384" s="71">
        <f t="shared" si="229"/>
        <v>0</v>
      </c>
      <c r="N384" s="77">
        <f t="shared" si="230"/>
        <v>0</v>
      </c>
      <c r="O384" s="17"/>
    </row>
    <row r="385" spans="1:15" x14ac:dyDescent="0.55000000000000004">
      <c r="A385" s="9"/>
      <c r="B385" s="10" t="s">
        <v>79</v>
      </c>
      <c r="C385" s="4" t="s">
        <v>76</v>
      </c>
      <c r="D385" s="5">
        <v>14</v>
      </c>
      <c r="E385" s="6">
        <v>6775.9500000000016</v>
      </c>
      <c r="F385" s="16">
        <f t="shared" si="209"/>
        <v>94863.300000000017</v>
      </c>
      <c r="G385" s="44">
        <v>2.200663823922235E-3</v>
      </c>
      <c r="H385" s="57"/>
      <c r="I385" s="4" t="s">
        <v>76</v>
      </c>
      <c r="J385" s="71">
        <f t="shared" si="227"/>
        <v>0</v>
      </c>
      <c r="K385" s="71">
        <v>0</v>
      </c>
      <c r="L385" s="71">
        <f t="shared" si="228"/>
        <v>0</v>
      </c>
      <c r="M385" s="71">
        <f t="shared" si="229"/>
        <v>0</v>
      </c>
      <c r="N385" s="77">
        <f t="shared" si="230"/>
        <v>0</v>
      </c>
      <c r="O385" s="17"/>
    </row>
    <row r="386" spans="1:15" x14ac:dyDescent="0.55000000000000004">
      <c r="A386" s="9"/>
      <c r="B386" s="10" t="s">
        <v>80</v>
      </c>
      <c r="C386" s="4" t="s">
        <v>76</v>
      </c>
      <c r="D386" s="5">
        <v>16</v>
      </c>
      <c r="E386" s="6">
        <v>8642.33</v>
      </c>
      <c r="F386" s="16">
        <f t="shared" si="209"/>
        <v>138277.28</v>
      </c>
      <c r="G386" s="44">
        <v>3.2077927688196122E-3</v>
      </c>
      <c r="H386" s="57"/>
      <c r="I386" s="4" t="s">
        <v>76</v>
      </c>
      <c r="J386" s="71">
        <f t="shared" si="227"/>
        <v>0</v>
      </c>
      <c r="K386" s="71">
        <v>0</v>
      </c>
      <c r="L386" s="71">
        <f t="shared" si="228"/>
        <v>0</v>
      </c>
      <c r="M386" s="71">
        <f t="shared" si="229"/>
        <v>0</v>
      </c>
      <c r="N386" s="77">
        <f t="shared" si="230"/>
        <v>0</v>
      </c>
      <c r="O386" s="17"/>
    </row>
    <row r="387" spans="1:15" x14ac:dyDescent="0.55000000000000004">
      <c r="A387" s="9"/>
      <c r="B387" s="10" t="s">
        <v>81</v>
      </c>
      <c r="C387" s="4" t="s">
        <v>76</v>
      </c>
      <c r="D387" s="5">
        <v>2</v>
      </c>
      <c r="E387" s="6">
        <v>10870.01</v>
      </c>
      <c r="F387" s="16">
        <f t="shared" si="209"/>
        <v>21740.02</v>
      </c>
      <c r="G387" s="44">
        <v>5.0433071109001965E-4</v>
      </c>
      <c r="H387" s="57"/>
      <c r="I387" s="4" t="s">
        <v>76</v>
      </c>
      <c r="J387" s="71">
        <f t="shared" si="227"/>
        <v>0</v>
      </c>
      <c r="K387" s="71">
        <v>0</v>
      </c>
      <c r="L387" s="71">
        <f t="shared" si="228"/>
        <v>0</v>
      </c>
      <c r="M387" s="71">
        <f t="shared" si="229"/>
        <v>0</v>
      </c>
      <c r="N387" s="77">
        <f t="shared" si="230"/>
        <v>0</v>
      </c>
      <c r="O387" s="17"/>
    </row>
    <row r="388" spans="1:15" x14ac:dyDescent="0.55000000000000004">
      <c r="A388" s="9"/>
      <c r="B388" s="10" t="s">
        <v>82</v>
      </c>
      <c r="C388" s="4" t="s">
        <v>76</v>
      </c>
      <c r="D388" s="5">
        <v>5</v>
      </c>
      <c r="E388" s="6">
        <v>15566.920000000002</v>
      </c>
      <c r="F388" s="16">
        <f t="shared" si="209"/>
        <v>77834.600000000006</v>
      </c>
      <c r="G388" s="44">
        <v>1.8056275553291691E-3</v>
      </c>
      <c r="H388" s="57"/>
      <c r="I388" s="4" t="s">
        <v>76</v>
      </c>
      <c r="J388" s="71">
        <f t="shared" si="227"/>
        <v>0</v>
      </c>
      <c r="K388" s="71">
        <v>0</v>
      </c>
      <c r="L388" s="71">
        <f t="shared" si="228"/>
        <v>0</v>
      </c>
      <c r="M388" s="71">
        <f t="shared" si="229"/>
        <v>0</v>
      </c>
      <c r="N388" s="77">
        <f t="shared" si="230"/>
        <v>0</v>
      </c>
      <c r="O388" s="17"/>
    </row>
    <row r="389" spans="1:15" x14ac:dyDescent="0.55000000000000004">
      <c r="A389" s="9"/>
      <c r="B389" s="10" t="s">
        <v>83</v>
      </c>
      <c r="C389" s="4" t="s">
        <v>76</v>
      </c>
      <c r="D389" s="5">
        <v>2</v>
      </c>
      <c r="E389" s="6">
        <v>21015.33</v>
      </c>
      <c r="F389" s="16">
        <f t="shared" si="209"/>
        <v>42030.66</v>
      </c>
      <c r="G389" s="44">
        <v>9.7503832311942879E-4</v>
      </c>
      <c r="H389" s="57"/>
      <c r="I389" s="4" t="s">
        <v>76</v>
      </c>
      <c r="J389" s="71">
        <f t="shared" si="227"/>
        <v>0</v>
      </c>
      <c r="K389" s="71">
        <v>0</v>
      </c>
      <c r="L389" s="71">
        <f t="shared" si="228"/>
        <v>0</v>
      </c>
      <c r="M389" s="71">
        <f t="shared" si="229"/>
        <v>0</v>
      </c>
      <c r="N389" s="77">
        <f t="shared" si="230"/>
        <v>0</v>
      </c>
      <c r="O389" s="17"/>
    </row>
    <row r="390" spans="1:15" x14ac:dyDescent="0.55000000000000004">
      <c r="A390" s="9"/>
      <c r="B390" s="10" t="s">
        <v>84</v>
      </c>
      <c r="C390" s="4" t="s">
        <v>76</v>
      </c>
      <c r="D390" s="5">
        <v>14</v>
      </c>
      <c r="E390" s="6">
        <v>27039.769999999997</v>
      </c>
      <c r="F390" s="16">
        <f t="shared" si="209"/>
        <v>378556.77999999997</v>
      </c>
      <c r="G390" s="44">
        <v>8.7818599083785611E-3</v>
      </c>
      <c r="H390" s="57"/>
      <c r="I390" s="4" t="s">
        <v>76</v>
      </c>
      <c r="J390" s="71">
        <f t="shared" si="227"/>
        <v>0</v>
      </c>
      <c r="K390" s="71">
        <v>0</v>
      </c>
      <c r="L390" s="71">
        <f t="shared" si="228"/>
        <v>0</v>
      </c>
      <c r="M390" s="71">
        <f t="shared" si="229"/>
        <v>0</v>
      </c>
      <c r="N390" s="77">
        <f t="shared" si="230"/>
        <v>0</v>
      </c>
      <c r="O390" s="17"/>
    </row>
    <row r="391" spans="1:15" x14ac:dyDescent="0.55000000000000004">
      <c r="A391" s="9"/>
      <c r="B391" s="10"/>
      <c r="C391" s="4"/>
      <c r="D391" s="5"/>
      <c r="E391" s="6"/>
      <c r="F391" s="16"/>
      <c r="G391" s="44"/>
      <c r="H391" s="57"/>
      <c r="I391" s="4"/>
      <c r="J391" s="71"/>
      <c r="K391" s="14"/>
      <c r="L391" s="71"/>
      <c r="M391" s="71"/>
      <c r="N391" s="77"/>
      <c r="O391" s="17"/>
    </row>
    <row r="392" spans="1:15" x14ac:dyDescent="0.55000000000000004">
      <c r="A392" s="9"/>
      <c r="B392" s="10" t="s">
        <v>85</v>
      </c>
      <c r="C392" s="4"/>
      <c r="D392" s="5"/>
      <c r="E392" s="6"/>
      <c r="F392" s="16"/>
      <c r="G392" s="44"/>
      <c r="H392" s="57"/>
      <c r="I392" s="4"/>
      <c r="J392" s="71"/>
      <c r="K392" s="14"/>
      <c r="L392" s="71"/>
      <c r="M392" s="71"/>
      <c r="N392" s="77"/>
      <c r="O392" s="17"/>
    </row>
    <row r="393" spans="1:15" x14ac:dyDescent="0.55000000000000004">
      <c r="A393" s="9"/>
      <c r="B393" s="10" t="s">
        <v>75</v>
      </c>
      <c r="C393" s="4" t="s">
        <v>76</v>
      </c>
      <c r="D393" s="5">
        <v>16</v>
      </c>
      <c r="E393" s="6">
        <v>433.56999999999994</v>
      </c>
      <c r="F393" s="16">
        <f t="shared" si="209"/>
        <v>6937.119999999999</v>
      </c>
      <c r="G393" s="44">
        <v>1.6092913725547614E-4</v>
      </c>
      <c r="H393" s="57"/>
      <c r="I393" s="4" t="s">
        <v>76</v>
      </c>
      <c r="J393" s="71">
        <f t="shared" ref="J393:J401" si="231">H393*E393</f>
        <v>0</v>
      </c>
      <c r="K393" s="71">
        <v>0</v>
      </c>
      <c r="L393" s="71">
        <f t="shared" ref="L393:L401" si="232">H393*J393</f>
        <v>0</v>
      </c>
      <c r="M393" s="71">
        <f t="shared" ref="M393:M401" si="233">K393+L393</f>
        <v>0</v>
      </c>
      <c r="N393" s="77">
        <f t="shared" ref="N393:N401" si="234">M393/43106674.89</f>
        <v>0</v>
      </c>
      <c r="O393" s="17"/>
    </row>
    <row r="394" spans="1:15" x14ac:dyDescent="0.55000000000000004">
      <c r="A394" s="9"/>
      <c r="B394" s="10" t="s">
        <v>77</v>
      </c>
      <c r="C394" s="4" t="s">
        <v>76</v>
      </c>
      <c r="D394" s="5">
        <v>24</v>
      </c>
      <c r="E394" s="6">
        <v>441.82999999999993</v>
      </c>
      <c r="F394" s="16">
        <f t="shared" si="209"/>
        <v>10603.919999999998</v>
      </c>
      <c r="G394" s="44">
        <v>2.459925296270049E-4</v>
      </c>
      <c r="H394" s="57"/>
      <c r="I394" s="4" t="s">
        <v>76</v>
      </c>
      <c r="J394" s="71">
        <f t="shared" si="231"/>
        <v>0</v>
      </c>
      <c r="K394" s="71">
        <v>0</v>
      </c>
      <c r="L394" s="71">
        <f t="shared" si="232"/>
        <v>0</v>
      </c>
      <c r="M394" s="71">
        <f t="shared" si="233"/>
        <v>0</v>
      </c>
      <c r="N394" s="77">
        <f t="shared" si="234"/>
        <v>0</v>
      </c>
      <c r="O394" s="17"/>
    </row>
    <row r="395" spans="1:15" x14ac:dyDescent="0.55000000000000004">
      <c r="A395" s="9"/>
      <c r="B395" s="10" t="s">
        <v>78</v>
      </c>
      <c r="C395" s="4" t="s">
        <v>76</v>
      </c>
      <c r="D395" s="5">
        <v>19</v>
      </c>
      <c r="E395" s="6">
        <v>516.15</v>
      </c>
      <c r="F395" s="16">
        <f t="shared" si="209"/>
        <v>9806.85</v>
      </c>
      <c r="G395" s="44">
        <v>2.2750188978911513E-4</v>
      </c>
      <c r="H395" s="57"/>
      <c r="I395" s="4" t="s">
        <v>76</v>
      </c>
      <c r="J395" s="71">
        <f t="shared" si="231"/>
        <v>0</v>
      </c>
      <c r="K395" s="71">
        <v>0</v>
      </c>
      <c r="L395" s="71">
        <f t="shared" si="232"/>
        <v>0</v>
      </c>
      <c r="M395" s="71">
        <f t="shared" si="233"/>
        <v>0</v>
      </c>
      <c r="N395" s="77">
        <f t="shared" si="234"/>
        <v>0</v>
      </c>
      <c r="O395" s="17"/>
    </row>
    <row r="396" spans="1:15" x14ac:dyDescent="0.55000000000000004">
      <c r="A396" s="9"/>
      <c r="B396" s="10" t="s">
        <v>79</v>
      </c>
      <c r="C396" s="4" t="s">
        <v>76</v>
      </c>
      <c r="D396" s="5">
        <v>27</v>
      </c>
      <c r="E396" s="6">
        <v>629.70999999999992</v>
      </c>
      <c r="F396" s="16">
        <f t="shared" si="209"/>
        <v>17002.169999999998</v>
      </c>
      <c r="G396" s="44">
        <v>3.9442081866407656E-4</v>
      </c>
      <c r="H396" s="57"/>
      <c r="I396" s="4" t="s">
        <v>76</v>
      </c>
      <c r="J396" s="71">
        <f t="shared" si="231"/>
        <v>0</v>
      </c>
      <c r="K396" s="71">
        <v>0</v>
      </c>
      <c r="L396" s="71">
        <f t="shared" si="232"/>
        <v>0</v>
      </c>
      <c r="M396" s="71">
        <f t="shared" si="233"/>
        <v>0</v>
      </c>
      <c r="N396" s="77">
        <f t="shared" si="234"/>
        <v>0</v>
      </c>
      <c r="O396" s="17"/>
    </row>
    <row r="397" spans="1:15" x14ac:dyDescent="0.55000000000000004">
      <c r="A397" s="9"/>
      <c r="B397" s="10" t="s">
        <v>80</v>
      </c>
      <c r="C397" s="4" t="s">
        <v>76</v>
      </c>
      <c r="D397" s="5">
        <v>31</v>
      </c>
      <c r="E397" s="6">
        <v>708.16</v>
      </c>
      <c r="F397" s="16">
        <f t="shared" si="209"/>
        <v>21952.959999999999</v>
      </c>
      <c r="G397" s="44">
        <v>5.0927054930633721E-4</v>
      </c>
      <c r="H397" s="57"/>
      <c r="I397" s="4" t="s">
        <v>76</v>
      </c>
      <c r="J397" s="71">
        <f t="shared" si="231"/>
        <v>0</v>
      </c>
      <c r="K397" s="71">
        <v>0</v>
      </c>
      <c r="L397" s="71">
        <f t="shared" si="232"/>
        <v>0</v>
      </c>
      <c r="M397" s="71">
        <f t="shared" si="233"/>
        <v>0</v>
      </c>
      <c r="N397" s="77">
        <f t="shared" si="234"/>
        <v>0</v>
      </c>
      <c r="O397" s="17"/>
    </row>
    <row r="398" spans="1:15" x14ac:dyDescent="0.55000000000000004">
      <c r="A398" s="9"/>
      <c r="B398" s="10" t="s">
        <v>81</v>
      </c>
      <c r="C398" s="4" t="s">
        <v>76</v>
      </c>
      <c r="D398" s="5">
        <v>4</v>
      </c>
      <c r="E398" s="6">
        <v>784.55</v>
      </c>
      <c r="F398" s="16">
        <f t="shared" si="209"/>
        <v>3138.2</v>
      </c>
      <c r="G398" s="44">
        <v>7.280079031862434E-5</v>
      </c>
      <c r="H398" s="57"/>
      <c r="I398" s="4" t="s">
        <v>76</v>
      </c>
      <c r="J398" s="71">
        <f t="shared" si="231"/>
        <v>0</v>
      </c>
      <c r="K398" s="71">
        <v>0</v>
      </c>
      <c r="L398" s="71">
        <f t="shared" si="232"/>
        <v>0</v>
      </c>
      <c r="M398" s="71">
        <f t="shared" si="233"/>
        <v>0</v>
      </c>
      <c r="N398" s="77">
        <f t="shared" si="234"/>
        <v>0</v>
      </c>
      <c r="O398" s="17"/>
    </row>
    <row r="399" spans="1:15" x14ac:dyDescent="0.55000000000000004">
      <c r="A399" s="9"/>
      <c r="B399" s="10" t="s">
        <v>82</v>
      </c>
      <c r="C399" s="4" t="s">
        <v>76</v>
      </c>
      <c r="D399" s="5">
        <v>10</v>
      </c>
      <c r="E399" s="6">
        <v>846.49</v>
      </c>
      <c r="F399" s="16">
        <f t="shared" si="209"/>
        <v>8464.9</v>
      </c>
      <c r="G399" s="44">
        <v>1.9637098016956318E-4</v>
      </c>
      <c r="H399" s="57"/>
      <c r="I399" s="4" t="s">
        <v>76</v>
      </c>
      <c r="J399" s="71">
        <f t="shared" si="231"/>
        <v>0</v>
      </c>
      <c r="K399" s="71">
        <v>0</v>
      </c>
      <c r="L399" s="71">
        <f t="shared" si="232"/>
        <v>0</v>
      </c>
      <c r="M399" s="71">
        <f t="shared" si="233"/>
        <v>0</v>
      </c>
      <c r="N399" s="77">
        <f t="shared" si="234"/>
        <v>0</v>
      </c>
      <c r="O399" s="17"/>
    </row>
    <row r="400" spans="1:15" x14ac:dyDescent="0.55000000000000004">
      <c r="A400" s="9"/>
      <c r="B400" s="10" t="s">
        <v>83</v>
      </c>
      <c r="C400" s="4" t="s">
        <v>76</v>
      </c>
      <c r="D400" s="5">
        <v>4</v>
      </c>
      <c r="E400" s="6">
        <v>896.03</v>
      </c>
      <c r="F400" s="16">
        <f t="shared" si="209"/>
        <v>3584.12</v>
      </c>
      <c r="G400" s="44">
        <v>8.314535995054103E-5</v>
      </c>
      <c r="H400" s="57"/>
      <c r="I400" s="4" t="s">
        <v>76</v>
      </c>
      <c r="J400" s="71">
        <f t="shared" si="231"/>
        <v>0</v>
      </c>
      <c r="K400" s="71">
        <v>0</v>
      </c>
      <c r="L400" s="71">
        <f t="shared" si="232"/>
        <v>0</v>
      </c>
      <c r="M400" s="71">
        <f t="shared" si="233"/>
        <v>0</v>
      </c>
      <c r="N400" s="77">
        <f t="shared" si="234"/>
        <v>0</v>
      </c>
      <c r="O400" s="17"/>
    </row>
    <row r="401" spans="1:15" x14ac:dyDescent="0.55000000000000004">
      <c r="A401" s="9"/>
      <c r="B401" s="10" t="s">
        <v>84</v>
      </c>
      <c r="C401" s="4" t="s">
        <v>76</v>
      </c>
      <c r="D401" s="5">
        <v>27</v>
      </c>
      <c r="E401" s="6">
        <v>1011.66</v>
      </c>
      <c r="F401" s="16">
        <f t="shared" si="209"/>
        <v>27314.82</v>
      </c>
      <c r="G401" s="44">
        <v>6.3365639009972804E-4</v>
      </c>
      <c r="H401" s="57"/>
      <c r="I401" s="4" t="s">
        <v>76</v>
      </c>
      <c r="J401" s="71">
        <f t="shared" si="231"/>
        <v>0</v>
      </c>
      <c r="K401" s="71">
        <v>0</v>
      </c>
      <c r="L401" s="71">
        <f t="shared" si="232"/>
        <v>0</v>
      </c>
      <c r="M401" s="71">
        <f t="shared" si="233"/>
        <v>0</v>
      </c>
      <c r="N401" s="77">
        <f t="shared" si="234"/>
        <v>0</v>
      </c>
      <c r="O401" s="17"/>
    </row>
    <row r="402" spans="1:15" x14ac:dyDescent="0.55000000000000004">
      <c r="A402" s="9"/>
      <c r="B402" s="10"/>
      <c r="C402" s="4"/>
      <c r="D402" s="5"/>
      <c r="E402" s="6"/>
      <c r="F402" s="16"/>
      <c r="G402" s="44"/>
      <c r="H402" s="57"/>
      <c r="I402" s="4"/>
      <c r="J402" s="71"/>
      <c r="K402" s="14"/>
      <c r="L402" s="71"/>
      <c r="M402" s="71"/>
      <c r="N402" s="77"/>
      <c r="O402" s="17"/>
    </row>
    <row r="403" spans="1:15" x14ac:dyDescent="0.55000000000000004">
      <c r="A403" s="9"/>
      <c r="B403" s="10" t="s">
        <v>86</v>
      </c>
      <c r="C403" s="4" t="s">
        <v>5</v>
      </c>
      <c r="D403" s="5">
        <v>1</v>
      </c>
      <c r="E403" s="6">
        <v>96659.969999999987</v>
      </c>
      <c r="F403" s="16">
        <f t="shared" si="209"/>
        <v>96659.969999999987</v>
      </c>
      <c r="G403" s="44">
        <v>2.24234344789195E-3</v>
      </c>
      <c r="H403" s="57">
        <v>1</v>
      </c>
      <c r="I403" s="4" t="s">
        <v>5</v>
      </c>
      <c r="J403" s="71"/>
      <c r="K403" s="71">
        <v>0</v>
      </c>
      <c r="L403" s="71">
        <f t="shared" ref="L403" si="235">H403*J403</f>
        <v>0</v>
      </c>
      <c r="M403" s="71">
        <f t="shared" ref="M403" si="236">K403+L403</f>
        <v>0</v>
      </c>
      <c r="N403" s="77">
        <f t="shared" ref="N403" si="237">M403/43106674.89</f>
        <v>0</v>
      </c>
      <c r="O403" s="17"/>
    </row>
    <row r="404" spans="1:15" x14ac:dyDescent="0.55000000000000004">
      <c r="A404" s="9"/>
      <c r="B404" s="10"/>
      <c r="C404" s="4"/>
      <c r="D404" s="5"/>
      <c r="E404" s="6"/>
      <c r="F404" s="16"/>
      <c r="G404" s="44"/>
      <c r="H404" s="57"/>
      <c r="I404" s="4"/>
      <c r="J404" s="71"/>
      <c r="K404" s="14"/>
      <c r="L404" s="71"/>
      <c r="M404" s="71"/>
      <c r="N404" s="77"/>
      <c r="O404" s="17"/>
    </row>
    <row r="405" spans="1:15" x14ac:dyDescent="0.55000000000000004">
      <c r="A405" s="9"/>
      <c r="B405" s="10" t="s">
        <v>87</v>
      </c>
      <c r="C405" s="4" t="s">
        <v>88</v>
      </c>
      <c r="D405" s="5">
        <v>24</v>
      </c>
      <c r="E405" s="6">
        <v>3207.48</v>
      </c>
      <c r="F405" s="16">
        <f t="shared" si="209"/>
        <v>76979.520000000004</v>
      </c>
      <c r="G405" s="44">
        <v>1.7857911842292871E-3</v>
      </c>
      <c r="H405" s="57"/>
      <c r="I405" s="4" t="s">
        <v>88</v>
      </c>
      <c r="J405" s="71">
        <f t="shared" ref="J405" si="238">H405*E405</f>
        <v>0</v>
      </c>
      <c r="K405" s="71">
        <v>0</v>
      </c>
      <c r="L405" s="71">
        <f t="shared" ref="L405" si="239">H405*J405</f>
        <v>0</v>
      </c>
      <c r="M405" s="71">
        <f t="shared" ref="M405" si="240">K405+L405</f>
        <v>0</v>
      </c>
      <c r="N405" s="77">
        <f t="shared" ref="N405" si="241">M405/43106674.89</f>
        <v>0</v>
      </c>
      <c r="O405" s="17"/>
    </row>
    <row r="406" spans="1:15" x14ac:dyDescent="0.55000000000000004">
      <c r="A406" s="9"/>
      <c r="B406" s="10"/>
      <c r="C406" s="4"/>
      <c r="D406" s="5"/>
      <c r="E406" s="6"/>
      <c r="F406" s="16"/>
      <c r="G406" s="44"/>
      <c r="H406" s="57"/>
      <c r="I406" s="4"/>
      <c r="J406" s="71"/>
      <c r="K406" s="14"/>
      <c r="L406" s="71"/>
      <c r="M406" s="71"/>
      <c r="N406" s="77"/>
      <c r="O406" s="17"/>
    </row>
    <row r="407" spans="1:15" x14ac:dyDescent="0.55000000000000004">
      <c r="A407" s="9"/>
      <c r="B407" s="10" t="s">
        <v>89</v>
      </c>
      <c r="C407" s="4" t="s">
        <v>5</v>
      </c>
      <c r="D407" s="5">
        <v>1</v>
      </c>
      <c r="E407" s="6">
        <v>32219.999999999996</v>
      </c>
      <c r="F407" s="16">
        <f t="shared" si="209"/>
        <v>32219.999999999996</v>
      </c>
      <c r="G407" s="44">
        <v>7.4744804794661776E-4</v>
      </c>
      <c r="H407" s="57"/>
      <c r="I407" s="4" t="s">
        <v>5</v>
      </c>
      <c r="J407" s="71"/>
      <c r="K407" s="71">
        <v>0</v>
      </c>
      <c r="L407" s="71">
        <f t="shared" ref="L407" si="242">H407*J407</f>
        <v>0</v>
      </c>
      <c r="M407" s="71">
        <f t="shared" ref="M407" si="243">K407+L407</f>
        <v>0</v>
      </c>
      <c r="N407" s="77">
        <f t="shared" ref="N407" si="244">M407/43106674.89</f>
        <v>0</v>
      </c>
      <c r="O407" s="17"/>
    </row>
    <row r="408" spans="1:15" x14ac:dyDescent="0.55000000000000004">
      <c r="A408" s="9"/>
      <c r="B408" s="10"/>
      <c r="C408" s="4"/>
      <c r="D408" s="5"/>
      <c r="E408" s="6"/>
      <c r="F408" s="16"/>
      <c r="G408" s="44"/>
      <c r="H408" s="57"/>
      <c r="I408" s="4"/>
      <c r="J408" s="71"/>
      <c r="K408" s="14"/>
      <c r="L408" s="71"/>
      <c r="M408" s="71"/>
      <c r="N408" s="77"/>
      <c r="O408" s="17"/>
    </row>
    <row r="409" spans="1:15" x14ac:dyDescent="0.55000000000000004">
      <c r="A409" s="9"/>
      <c r="B409" s="10" t="s">
        <v>90</v>
      </c>
      <c r="C409" s="4" t="s">
        <v>91</v>
      </c>
      <c r="D409" s="5">
        <v>3</v>
      </c>
      <c r="E409" s="6">
        <v>9622.41</v>
      </c>
      <c r="F409" s="16">
        <f t="shared" si="209"/>
        <v>28867.23</v>
      </c>
      <c r="G409" s="44">
        <v>6.696696062422733E-4</v>
      </c>
      <c r="H409" s="57"/>
      <c r="I409" s="4" t="s">
        <v>91</v>
      </c>
      <c r="J409" s="71">
        <f t="shared" ref="J409" si="245">H409*E409</f>
        <v>0</v>
      </c>
      <c r="K409" s="71">
        <v>0</v>
      </c>
      <c r="L409" s="71">
        <f t="shared" ref="L409" si="246">H409*J409</f>
        <v>0</v>
      </c>
      <c r="M409" s="71">
        <f t="shared" ref="M409" si="247">K409+L409</f>
        <v>0</v>
      </c>
      <c r="N409" s="77">
        <f t="shared" ref="N409" si="248">M409/43106674.89</f>
        <v>0</v>
      </c>
      <c r="O409" s="17"/>
    </row>
    <row r="410" spans="1:15" x14ac:dyDescent="0.55000000000000004">
      <c r="A410" s="9"/>
      <c r="B410" s="10"/>
      <c r="C410" s="4"/>
      <c r="D410" s="5"/>
      <c r="E410" s="6"/>
      <c r="F410" s="16"/>
      <c r="G410" s="44"/>
      <c r="H410" s="57"/>
      <c r="I410" s="4"/>
      <c r="J410" s="71"/>
      <c r="K410" s="14"/>
      <c r="L410" s="71"/>
      <c r="M410" s="71"/>
      <c r="N410" s="77"/>
      <c r="O410" s="17"/>
    </row>
    <row r="411" spans="1:15" x14ac:dyDescent="0.55000000000000004">
      <c r="A411" s="9"/>
      <c r="B411" s="10" t="s">
        <v>92</v>
      </c>
      <c r="C411" s="4"/>
      <c r="D411" s="5"/>
      <c r="E411" s="6"/>
      <c r="F411" s="16"/>
      <c r="G411" s="44"/>
      <c r="H411" s="57"/>
      <c r="I411" s="4"/>
      <c r="J411" s="71"/>
      <c r="K411" s="14"/>
      <c r="L411" s="71"/>
      <c r="M411" s="71"/>
      <c r="N411" s="77"/>
      <c r="O411" s="17"/>
    </row>
    <row r="412" spans="1:15" x14ac:dyDescent="0.55000000000000004">
      <c r="A412" s="9"/>
      <c r="B412" s="10" t="s">
        <v>93</v>
      </c>
      <c r="C412" s="4" t="s">
        <v>76</v>
      </c>
      <c r="D412" s="5">
        <v>31</v>
      </c>
      <c r="E412" s="6">
        <v>404.15</v>
      </c>
      <c r="F412" s="16">
        <f t="shared" ref="F412:F474" si="249">D412*E412</f>
        <v>12528.65</v>
      </c>
      <c r="G412" s="44">
        <v>2.9064292321248896E-4</v>
      </c>
      <c r="H412" s="57"/>
      <c r="I412" s="4" t="s">
        <v>76</v>
      </c>
      <c r="J412" s="71">
        <f t="shared" ref="J412:J413" si="250">H412*E412</f>
        <v>0</v>
      </c>
      <c r="K412" s="71">
        <v>0</v>
      </c>
      <c r="L412" s="71">
        <f t="shared" ref="L412:L413" si="251">H412*J412</f>
        <v>0</v>
      </c>
      <c r="M412" s="71">
        <f t="shared" ref="M412:M413" si="252">K412+L412</f>
        <v>0</v>
      </c>
      <c r="N412" s="77">
        <f t="shared" ref="N412:N413" si="253">M412/43106674.89</f>
        <v>0</v>
      </c>
      <c r="O412" s="17"/>
    </row>
    <row r="413" spans="1:15" x14ac:dyDescent="0.55000000000000004">
      <c r="A413" s="9"/>
      <c r="B413" s="10" t="s">
        <v>94</v>
      </c>
      <c r="C413" s="4" t="s">
        <v>76</v>
      </c>
      <c r="D413" s="5">
        <v>38</v>
      </c>
      <c r="E413" s="6">
        <v>641.83000000000004</v>
      </c>
      <c r="F413" s="16">
        <f t="shared" si="249"/>
        <v>24389.54</v>
      </c>
      <c r="G413" s="44">
        <v>5.6579497403215257E-4</v>
      </c>
      <c r="H413" s="57"/>
      <c r="I413" s="4" t="s">
        <v>76</v>
      </c>
      <c r="J413" s="71">
        <f t="shared" si="250"/>
        <v>0</v>
      </c>
      <c r="K413" s="71">
        <v>0</v>
      </c>
      <c r="L413" s="71">
        <f t="shared" si="251"/>
        <v>0</v>
      </c>
      <c r="M413" s="71">
        <f t="shared" si="252"/>
        <v>0</v>
      </c>
      <c r="N413" s="77">
        <f t="shared" si="253"/>
        <v>0</v>
      </c>
      <c r="O413" s="17"/>
    </row>
    <row r="414" spans="1:15" x14ac:dyDescent="0.55000000000000004">
      <c r="A414" s="9"/>
      <c r="B414" s="10"/>
      <c r="C414" s="4"/>
      <c r="D414" s="5"/>
      <c r="E414" s="6"/>
      <c r="F414" s="16"/>
      <c r="G414" s="44"/>
      <c r="H414" s="57"/>
      <c r="I414" s="4"/>
      <c r="J414" s="71"/>
      <c r="K414" s="14"/>
      <c r="L414" s="71"/>
      <c r="M414" s="71"/>
      <c r="N414" s="77"/>
      <c r="O414" s="17"/>
    </row>
    <row r="415" spans="1:15" x14ac:dyDescent="0.55000000000000004">
      <c r="A415" s="9"/>
      <c r="B415" s="10" t="s">
        <v>95</v>
      </c>
      <c r="C415" s="4"/>
      <c r="D415" s="5"/>
      <c r="E415" s="6"/>
      <c r="F415" s="16"/>
      <c r="G415" s="44"/>
      <c r="H415" s="57"/>
      <c r="I415" s="4"/>
      <c r="J415" s="71"/>
      <c r="K415" s="14"/>
      <c r="L415" s="71"/>
      <c r="M415" s="71"/>
      <c r="N415" s="77"/>
      <c r="O415" s="17"/>
    </row>
    <row r="416" spans="1:15" x14ac:dyDescent="0.55000000000000004">
      <c r="A416" s="9"/>
      <c r="B416" s="10" t="s">
        <v>96</v>
      </c>
      <c r="C416" s="4" t="s">
        <v>76</v>
      </c>
      <c r="D416" s="5">
        <v>61</v>
      </c>
      <c r="E416" s="6">
        <v>427.66999999999996</v>
      </c>
      <c r="F416" s="16">
        <f t="shared" si="249"/>
        <v>26087.87</v>
      </c>
      <c r="G416" s="44">
        <v>6.0519328077545417E-4</v>
      </c>
      <c r="H416" s="57"/>
      <c r="I416" s="4" t="s">
        <v>76</v>
      </c>
      <c r="J416" s="71">
        <f t="shared" ref="J416:J417" si="254">H416*E416</f>
        <v>0</v>
      </c>
      <c r="K416" s="71">
        <v>0</v>
      </c>
      <c r="L416" s="71">
        <f t="shared" ref="L416:L417" si="255">H416*J416</f>
        <v>0</v>
      </c>
      <c r="M416" s="71">
        <f t="shared" ref="M416:M417" si="256">K416+L416</f>
        <v>0</v>
      </c>
      <c r="N416" s="77">
        <f t="shared" ref="N416:N417" si="257">M416/43106674.89</f>
        <v>0</v>
      </c>
      <c r="O416" s="17"/>
    </row>
    <row r="417" spans="1:15" x14ac:dyDescent="0.55000000000000004">
      <c r="A417" s="9"/>
      <c r="B417" s="10" t="s">
        <v>97</v>
      </c>
      <c r="C417" s="4" t="s">
        <v>76</v>
      </c>
      <c r="D417" s="5">
        <v>75</v>
      </c>
      <c r="E417" s="6">
        <v>812.56999999999994</v>
      </c>
      <c r="F417" s="16">
        <f t="shared" si="249"/>
        <v>60942.749999999993</v>
      </c>
      <c r="G417" s="44">
        <v>1.4137659690874843E-3</v>
      </c>
      <c r="H417" s="57"/>
      <c r="I417" s="4" t="s">
        <v>76</v>
      </c>
      <c r="J417" s="71">
        <f t="shared" si="254"/>
        <v>0</v>
      </c>
      <c r="K417" s="71">
        <v>0</v>
      </c>
      <c r="L417" s="71">
        <f t="shared" si="255"/>
        <v>0</v>
      </c>
      <c r="M417" s="71">
        <f t="shared" si="256"/>
        <v>0</v>
      </c>
      <c r="N417" s="77">
        <f t="shared" si="257"/>
        <v>0</v>
      </c>
      <c r="O417" s="17"/>
    </row>
    <row r="418" spans="1:15" x14ac:dyDescent="0.55000000000000004">
      <c r="A418" s="9"/>
      <c r="B418" s="10"/>
      <c r="C418" s="4"/>
      <c r="D418" s="5"/>
      <c r="E418" s="6"/>
      <c r="F418" s="16"/>
      <c r="G418" s="44"/>
      <c r="H418" s="57"/>
      <c r="I418" s="4"/>
      <c r="J418" s="71"/>
      <c r="K418" s="14"/>
      <c r="L418" s="71"/>
      <c r="M418" s="71"/>
      <c r="N418" s="77"/>
      <c r="O418" s="17"/>
    </row>
    <row r="419" spans="1:15" x14ac:dyDescent="0.55000000000000004">
      <c r="A419" s="9"/>
      <c r="B419" s="10" t="s">
        <v>98</v>
      </c>
      <c r="C419" s="4"/>
      <c r="D419" s="5"/>
      <c r="E419" s="6"/>
      <c r="F419" s="16"/>
      <c r="G419" s="44"/>
      <c r="H419" s="57"/>
      <c r="I419" s="4"/>
      <c r="J419" s="71"/>
      <c r="K419" s="14"/>
      <c r="L419" s="71"/>
      <c r="M419" s="71"/>
      <c r="N419" s="77"/>
      <c r="O419" s="17"/>
    </row>
    <row r="420" spans="1:15" x14ac:dyDescent="0.55000000000000004">
      <c r="A420" s="9"/>
      <c r="B420" s="10" t="s">
        <v>99</v>
      </c>
      <c r="C420" s="4" t="s">
        <v>91</v>
      </c>
      <c r="D420" s="5">
        <v>10</v>
      </c>
      <c r="E420" s="6">
        <v>30473.159999999996</v>
      </c>
      <c r="F420" s="16">
        <f t="shared" si="249"/>
        <v>304731.59999999998</v>
      </c>
      <c r="G420" s="44">
        <v>7.0692439344397749E-3</v>
      </c>
      <c r="H420" s="57"/>
      <c r="I420" s="4" t="s">
        <v>91</v>
      </c>
      <c r="J420" s="71">
        <f t="shared" ref="J420" si="258">H420*E420</f>
        <v>0</v>
      </c>
      <c r="K420" s="71">
        <v>0</v>
      </c>
      <c r="L420" s="71">
        <f t="shared" ref="L420" si="259">H420*J420</f>
        <v>0</v>
      </c>
      <c r="M420" s="71">
        <f t="shared" ref="M420" si="260">K420+L420</f>
        <v>0</v>
      </c>
      <c r="N420" s="77">
        <f t="shared" ref="N420" si="261">M420/43106674.89</f>
        <v>0</v>
      </c>
      <c r="O420" s="17"/>
    </row>
    <row r="421" spans="1:15" x14ac:dyDescent="0.55000000000000004">
      <c r="A421" s="9"/>
      <c r="B421" s="10"/>
      <c r="C421" s="4"/>
      <c r="D421" s="5"/>
      <c r="E421" s="6"/>
      <c r="F421" s="16"/>
      <c r="G421" s="44"/>
      <c r="H421" s="57"/>
      <c r="I421" s="4"/>
      <c r="J421" s="71"/>
      <c r="K421" s="14"/>
      <c r="L421" s="71"/>
      <c r="M421" s="71"/>
      <c r="N421" s="77"/>
      <c r="O421" s="17"/>
    </row>
    <row r="422" spans="1:15" x14ac:dyDescent="0.55000000000000004">
      <c r="A422" s="9"/>
      <c r="B422" s="10" t="s">
        <v>100</v>
      </c>
      <c r="C422" s="4"/>
      <c r="D422" s="5"/>
      <c r="E422" s="6"/>
      <c r="F422" s="16"/>
      <c r="G422" s="44"/>
      <c r="H422" s="57"/>
      <c r="I422" s="4"/>
      <c r="J422" s="71"/>
      <c r="K422" s="14"/>
      <c r="L422" s="71"/>
      <c r="M422" s="71"/>
      <c r="N422" s="77"/>
      <c r="O422" s="17"/>
    </row>
    <row r="423" spans="1:15" x14ac:dyDescent="0.55000000000000004">
      <c r="A423" s="9"/>
      <c r="B423" s="10" t="s">
        <v>155</v>
      </c>
      <c r="C423" s="4" t="s">
        <v>76</v>
      </c>
      <c r="D423" s="5">
        <v>2</v>
      </c>
      <c r="E423" s="6">
        <v>213.84</v>
      </c>
      <c r="F423" s="16">
        <f t="shared" si="249"/>
        <v>427.68</v>
      </c>
      <c r="G423" s="44">
        <v>9.9214333068221453E-6</v>
      </c>
      <c r="H423" s="57"/>
      <c r="I423" s="4" t="s">
        <v>76</v>
      </c>
      <c r="J423" s="71">
        <f t="shared" ref="J423:J428" si="262">H423*E423</f>
        <v>0</v>
      </c>
      <c r="K423" s="71">
        <v>0</v>
      </c>
      <c r="L423" s="71">
        <f t="shared" ref="L423:L428" si="263">H423*J423</f>
        <v>0</v>
      </c>
      <c r="M423" s="71">
        <f t="shared" ref="M423:M428" si="264">K423+L423</f>
        <v>0</v>
      </c>
      <c r="N423" s="77">
        <f t="shared" ref="N423:N428" si="265">M423/43106674.89</f>
        <v>0</v>
      </c>
      <c r="O423" s="17"/>
    </row>
    <row r="424" spans="1:15" x14ac:dyDescent="0.55000000000000004">
      <c r="A424" s="9"/>
      <c r="B424" s="10" t="s">
        <v>101</v>
      </c>
      <c r="C424" s="4" t="s">
        <v>76</v>
      </c>
      <c r="D424" s="5">
        <v>11</v>
      </c>
      <c r="E424" s="6">
        <v>192.45999999999995</v>
      </c>
      <c r="F424" s="16">
        <f t="shared" si="249"/>
        <v>2117.0599999999995</v>
      </c>
      <c r="G424" s="44">
        <v>4.9112115592360845E-5</v>
      </c>
      <c r="H424" s="57"/>
      <c r="I424" s="4" t="s">
        <v>76</v>
      </c>
      <c r="J424" s="71">
        <f t="shared" si="262"/>
        <v>0</v>
      </c>
      <c r="K424" s="71">
        <v>0</v>
      </c>
      <c r="L424" s="71">
        <f t="shared" si="263"/>
        <v>0</v>
      </c>
      <c r="M424" s="71">
        <f t="shared" si="264"/>
        <v>0</v>
      </c>
      <c r="N424" s="77">
        <f t="shared" si="265"/>
        <v>0</v>
      </c>
      <c r="O424" s="17"/>
    </row>
    <row r="425" spans="1:15" x14ac:dyDescent="0.55000000000000004">
      <c r="A425" s="9"/>
      <c r="B425" s="10" t="s">
        <v>102</v>
      </c>
      <c r="C425" s="4" t="s">
        <v>76</v>
      </c>
      <c r="D425" s="5">
        <v>3</v>
      </c>
      <c r="E425" s="6">
        <v>53.47</v>
      </c>
      <c r="F425" s="16">
        <f t="shared" si="249"/>
        <v>160.41</v>
      </c>
      <c r="G425" s="44">
        <v>3.7212334379614206E-6</v>
      </c>
      <c r="H425" s="57"/>
      <c r="I425" s="4" t="s">
        <v>76</v>
      </c>
      <c r="J425" s="71">
        <f t="shared" si="262"/>
        <v>0</v>
      </c>
      <c r="K425" s="71">
        <v>0</v>
      </c>
      <c r="L425" s="71">
        <f t="shared" si="263"/>
        <v>0</v>
      </c>
      <c r="M425" s="71">
        <f t="shared" si="264"/>
        <v>0</v>
      </c>
      <c r="N425" s="77">
        <f t="shared" si="265"/>
        <v>0</v>
      </c>
      <c r="O425" s="17"/>
    </row>
    <row r="426" spans="1:15" x14ac:dyDescent="0.55000000000000004">
      <c r="A426" s="9"/>
      <c r="B426" s="10" t="s">
        <v>103</v>
      </c>
      <c r="C426" s="4" t="s">
        <v>76</v>
      </c>
      <c r="D426" s="5">
        <v>3</v>
      </c>
      <c r="E426" s="6">
        <v>203.14999999999998</v>
      </c>
      <c r="F426" s="16">
        <f t="shared" si="249"/>
        <v>609.44999999999993</v>
      </c>
      <c r="G426" s="44">
        <v>1.4138181651802179E-5</v>
      </c>
      <c r="H426" s="57"/>
      <c r="I426" s="4" t="s">
        <v>76</v>
      </c>
      <c r="J426" s="71">
        <f t="shared" si="262"/>
        <v>0</v>
      </c>
      <c r="K426" s="71">
        <v>0</v>
      </c>
      <c r="L426" s="71">
        <f t="shared" si="263"/>
        <v>0</v>
      </c>
      <c r="M426" s="71">
        <f t="shared" si="264"/>
        <v>0</v>
      </c>
      <c r="N426" s="77">
        <f t="shared" si="265"/>
        <v>0</v>
      </c>
      <c r="O426" s="17"/>
    </row>
    <row r="427" spans="1:15" x14ac:dyDescent="0.55000000000000004">
      <c r="A427" s="9"/>
      <c r="B427" s="10" t="s">
        <v>104</v>
      </c>
      <c r="C427" s="4" t="s">
        <v>76</v>
      </c>
      <c r="D427" s="5">
        <v>7</v>
      </c>
      <c r="E427" s="6">
        <v>43.63</v>
      </c>
      <c r="F427" s="16">
        <f t="shared" si="249"/>
        <v>305.41000000000003</v>
      </c>
      <c r="G427" s="44">
        <v>7.0849816363555732E-6</v>
      </c>
      <c r="H427" s="57"/>
      <c r="I427" s="4" t="s">
        <v>76</v>
      </c>
      <c r="J427" s="71">
        <f t="shared" si="262"/>
        <v>0</v>
      </c>
      <c r="K427" s="71">
        <v>0</v>
      </c>
      <c r="L427" s="71">
        <f t="shared" si="263"/>
        <v>0</v>
      </c>
      <c r="M427" s="71">
        <f t="shared" si="264"/>
        <v>0</v>
      </c>
      <c r="N427" s="77">
        <f t="shared" si="265"/>
        <v>0</v>
      </c>
      <c r="O427" s="17"/>
    </row>
    <row r="428" spans="1:15" x14ac:dyDescent="0.55000000000000004">
      <c r="A428" s="9"/>
      <c r="B428" s="10" t="s">
        <v>105</v>
      </c>
      <c r="C428" s="4" t="s">
        <v>76</v>
      </c>
      <c r="D428" s="5">
        <v>6</v>
      </c>
      <c r="E428" s="6">
        <v>213.84</v>
      </c>
      <c r="F428" s="16">
        <f t="shared" si="249"/>
        <v>1283.04</v>
      </c>
      <c r="G428" s="44">
        <v>2.9764299920466434E-5</v>
      </c>
      <c r="H428" s="57"/>
      <c r="I428" s="4" t="s">
        <v>76</v>
      </c>
      <c r="J428" s="71">
        <f t="shared" si="262"/>
        <v>0</v>
      </c>
      <c r="K428" s="71">
        <v>0</v>
      </c>
      <c r="L428" s="71">
        <f t="shared" si="263"/>
        <v>0</v>
      </c>
      <c r="M428" s="71">
        <f t="shared" si="264"/>
        <v>0</v>
      </c>
      <c r="N428" s="77">
        <f t="shared" si="265"/>
        <v>0</v>
      </c>
      <c r="O428" s="17"/>
    </row>
    <row r="429" spans="1:15" x14ac:dyDescent="0.55000000000000004">
      <c r="A429" s="9"/>
      <c r="B429" s="10"/>
      <c r="C429" s="4"/>
      <c r="D429" s="5"/>
      <c r="E429" s="6"/>
      <c r="F429" s="16"/>
      <c r="G429" s="44"/>
      <c r="H429" s="57"/>
      <c r="I429" s="4"/>
      <c r="J429" s="71"/>
      <c r="K429" s="14"/>
      <c r="L429" s="71"/>
      <c r="M429" s="71"/>
      <c r="N429" s="77"/>
      <c r="O429" s="17"/>
    </row>
    <row r="430" spans="1:15" x14ac:dyDescent="0.55000000000000004">
      <c r="A430" s="9"/>
      <c r="B430" s="10" t="s">
        <v>106</v>
      </c>
      <c r="C430" s="4"/>
      <c r="D430" s="5"/>
      <c r="E430" s="6"/>
      <c r="F430" s="16"/>
      <c r="G430" s="44"/>
      <c r="H430" s="57"/>
      <c r="I430" s="4"/>
      <c r="J430" s="71"/>
      <c r="K430" s="14"/>
      <c r="L430" s="71"/>
      <c r="M430" s="71"/>
      <c r="N430" s="77"/>
      <c r="O430" s="17"/>
    </row>
    <row r="431" spans="1:15" x14ac:dyDescent="0.55000000000000004">
      <c r="A431" s="9"/>
      <c r="B431" s="10" t="s">
        <v>107</v>
      </c>
      <c r="C431" s="4"/>
      <c r="D431" s="5"/>
      <c r="E431" s="6"/>
      <c r="F431" s="16"/>
      <c r="G431" s="44"/>
      <c r="H431" s="57"/>
      <c r="I431" s="4"/>
      <c r="J431" s="71"/>
      <c r="K431" s="14"/>
      <c r="L431" s="71"/>
      <c r="M431" s="71"/>
      <c r="N431" s="77"/>
      <c r="O431" s="17"/>
    </row>
    <row r="432" spans="1:15" x14ac:dyDescent="0.55000000000000004">
      <c r="A432" s="9"/>
      <c r="B432" s="10" t="s">
        <v>175</v>
      </c>
      <c r="C432" s="4" t="s">
        <v>109</v>
      </c>
      <c r="D432" s="5">
        <v>78</v>
      </c>
      <c r="E432" s="6">
        <v>763.38999999999987</v>
      </c>
      <c r="F432" s="16">
        <f t="shared" si="249"/>
        <v>59544.419999999991</v>
      </c>
      <c r="G432" s="44">
        <v>1.3813271413753428E-3</v>
      </c>
      <c r="H432" s="57"/>
      <c r="I432" s="4" t="s">
        <v>109</v>
      </c>
      <c r="J432" s="71">
        <f t="shared" ref="J432:J434" si="266">H432*E432</f>
        <v>0</v>
      </c>
      <c r="K432" s="71">
        <v>0</v>
      </c>
      <c r="L432" s="71">
        <f t="shared" ref="L432:L434" si="267">H432*J432</f>
        <v>0</v>
      </c>
      <c r="M432" s="71">
        <f t="shared" ref="M432:M434" si="268">K432+L432</f>
        <v>0</v>
      </c>
      <c r="N432" s="77">
        <f t="shared" ref="N432:N434" si="269">M432/43106674.89</f>
        <v>0</v>
      </c>
      <c r="O432" s="17"/>
    </row>
    <row r="433" spans="1:15" x14ac:dyDescent="0.55000000000000004">
      <c r="A433" s="9"/>
      <c r="B433" s="10" t="s">
        <v>110</v>
      </c>
      <c r="C433" s="4" t="s">
        <v>109</v>
      </c>
      <c r="D433" s="5">
        <v>654</v>
      </c>
      <c r="E433" s="6">
        <v>65.86999999999999</v>
      </c>
      <c r="F433" s="16">
        <f t="shared" si="249"/>
        <v>43078.979999999996</v>
      </c>
      <c r="G433" s="44">
        <v>9.9935752664591523E-4</v>
      </c>
      <c r="H433" s="57"/>
      <c r="I433" s="4" t="s">
        <v>109</v>
      </c>
      <c r="J433" s="71">
        <f t="shared" si="266"/>
        <v>0</v>
      </c>
      <c r="K433" s="71">
        <v>0</v>
      </c>
      <c r="L433" s="71">
        <f t="shared" si="267"/>
        <v>0</v>
      </c>
      <c r="M433" s="71">
        <f t="shared" si="268"/>
        <v>0</v>
      </c>
      <c r="N433" s="77">
        <f t="shared" si="269"/>
        <v>0</v>
      </c>
      <c r="O433" s="17"/>
    </row>
    <row r="434" spans="1:15" x14ac:dyDescent="0.55000000000000004">
      <c r="A434" s="9"/>
      <c r="B434" s="10" t="s">
        <v>111</v>
      </c>
      <c r="C434" s="4" t="s">
        <v>91</v>
      </c>
      <c r="D434" s="5">
        <v>32</v>
      </c>
      <c r="E434" s="6">
        <v>32.090000000000003</v>
      </c>
      <c r="F434" s="16">
        <f t="shared" si="249"/>
        <v>1026.8800000000001</v>
      </c>
      <c r="G434" s="44">
        <v>2.3821832758393016E-5</v>
      </c>
      <c r="H434" s="57"/>
      <c r="I434" s="4" t="s">
        <v>91</v>
      </c>
      <c r="J434" s="71">
        <f t="shared" si="266"/>
        <v>0</v>
      </c>
      <c r="K434" s="71">
        <v>0</v>
      </c>
      <c r="L434" s="71">
        <f t="shared" si="267"/>
        <v>0</v>
      </c>
      <c r="M434" s="71">
        <f t="shared" si="268"/>
        <v>0</v>
      </c>
      <c r="N434" s="77">
        <f t="shared" si="269"/>
        <v>0</v>
      </c>
      <c r="O434" s="17"/>
    </row>
    <row r="435" spans="1:15" x14ac:dyDescent="0.55000000000000004">
      <c r="A435" s="9"/>
      <c r="B435" s="10" t="s">
        <v>112</v>
      </c>
      <c r="C435" s="4"/>
      <c r="D435" s="5"/>
      <c r="E435" s="6"/>
      <c r="F435" s="16"/>
      <c r="G435" s="44"/>
      <c r="H435" s="57"/>
      <c r="I435" s="4"/>
      <c r="J435" s="71"/>
      <c r="K435" s="14"/>
      <c r="L435" s="71"/>
      <c r="M435" s="71"/>
      <c r="N435" s="77"/>
      <c r="O435" s="17"/>
    </row>
    <row r="436" spans="1:15" x14ac:dyDescent="0.55000000000000004">
      <c r="A436" s="9"/>
      <c r="B436" s="10" t="s">
        <v>113</v>
      </c>
      <c r="C436" s="4" t="s">
        <v>109</v>
      </c>
      <c r="D436" s="5">
        <v>472</v>
      </c>
      <c r="E436" s="6">
        <v>80.840000000000018</v>
      </c>
      <c r="F436" s="16">
        <f t="shared" si="249"/>
        <v>38156.48000000001</v>
      </c>
      <c r="G436" s="44">
        <v>8.8516407487629345E-4</v>
      </c>
      <c r="H436" s="57"/>
      <c r="I436" s="4" t="s">
        <v>109</v>
      </c>
      <c r="J436" s="71">
        <f t="shared" ref="J436:J439" si="270">H436*E436</f>
        <v>0</v>
      </c>
      <c r="K436" s="71">
        <v>0</v>
      </c>
      <c r="L436" s="71">
        <f t="shared" ref="L436:L439" si="271">H436*J436</f>
        <v>0</v>
      </c>
      <c r="M436" s="71">
        <f t="shared" ref="M436:M439" si="272">K436+L436</f>
        <v>0</v>
      </c>
      <c r="N436" s="77">
        <f t="shared" ref="N436:N439" si="273">M436/43106674.89</f>
        <v>0</v>
      </c>
      <c r="O436" s="17"/>
    </row>
    <row r="437" spans="1:15" x14ac:dyDescent="0.55000000000000004">
      <c r="A437" s="9"/>
      <c r="B437" s="10" t="s">
        <v>114</v>
      </c>
      <c r="C437" s="4" t="s">
        <v>109</v>
      </c>
      <c r="D437" s="5">
        <v>78</v>
      </c>
      <c r="E437" s="6">
        <v>77.05</v>
      </c>
      <c r="F437" s="16">
        <f t="shared" si="249"/>
        <v>6009.9</v>
      </c>
      <c r="G437" s="44">
        <v>1.3941924343123459E-4</v>
      </c>
      <c r="H437" s="57"/>
      <c r="I437" s="4" t="s">
        <v>109</v>
      </c>
      <c r="J437" s="71">
        <f t="shared" si="270"/>
        <v>0</v>
      </c>
      <c r="K437" s="71">
        <v>0</v>
      </c>
      <c r="L437" s="71">
        <f t="shared" si="271"/>
        <v>0</v>
      </c>
      <c r="M437" s="71">
        <f t="shared" si="272"/>
        <v>0</v>
      </c>
      <c r="N437" s="77">
        <f t="shared" si="273"/>
        <v>0</v>
      </c>
      <c r="O437" s="17"/>
    </row>
    <row r="438" spans="1:15" x14ac:dyDescent="0.55000000000000004">
      <c r="A438" s="9"/>
      <c r="B438" s="10" t="s">
        <v>115</v>
      </c>
      <c r="C438" s="4" t="s">
        <v>109</v>
      </c>
      <c r="D438" s="5">
        <v>26</v>
      </c>
      <c r="E438" s="6">
        <v>120.11</v>
      </c>
      <c r="F438" s="16">
        <f t="shared" si="249"/>
        <v>3122.86</v>
      </c>
      <c r="G438" s="44">
        <v>7.2444928957497677E-5</v>
      </c>
      <c r="H438" s="57"/>
      <c r="I438" s="4" t="s">
        <v>109</v>
      </c>
      <c r="J438" s="71">
        <f t="shared" si="270"/>
        <v>0</v>
      </c>
      <c r="K438" s="71">
        <v>0</v>
      </c>
      <c r="L438" s="71">
        <f t="shared" si="271"/>
        <v>0</v>
      </c>
      <c r="M438" s="71">
        <f t="shared" si="272"/>
        <v>0</v>
      </c>
      <c r="N438" s="77">
        <f t="shared" si="273"/>
        <v>0</v>
      </c>
      <c r="O438" s="17"/>
    </row>
    <row r="439" spans="1:15" x14ac:dyDescent="0.55000000000000004">
      <c r="A439" s="9"/>
      <c r="B439" s="10" t="s">
        <v>176</v>
      </c>
      <c r="C439" s="4" t="s">
        <v>109</v>
      </c>
      <c r="D439" s="5">
        <v>59</v>
      </c>
      <c r="E439" s="6">
        <v>938.2</v>
      </c>
      <c r="F439" s="16">
        <f t="shared" si="249"/>
        <v>55353.8</v>
      </c>
      <c r="G439" s="44">
        <v>1.2841120346501395E-3</v>
      </c>
      <c r="H439" s="57"/>
      <c r="I439" s="4" t="s">
        <v>109</v>
      </c>
      <c r="J439" s="71">
        <f t="shared" si="270"/>
        <v>0</v>
      </c>
      <c r="K439" s="71">
        <v>0</v>
      </c>
      <c r="L439" s="71">
        <f t="shared" si="271"/>
        <v>0</v>
      </c>
      <c r="M439" s="71">
        <f t="shared" si="272"/>
        <v>0</v>
      </c>
      <c r="N439" s="77">
        <f t="shared" si="273"/>
        <v>0</v>
      </c>
      <c r="O439" s="17"/>
    </row>
    <row r="440" spans="1:15" x14ac:dyDescent="0.55000000000000004">
      <c r="A440" s="9"/>
      <c r="B440" s="10" t="s">
        <v>117</v>
      </c>
      <c r="C440" s="4"/>
      <c r="D440" s="5"/>
      <c r="E440" s="6"/>
      <c r="F440" s="16"/>
      <c r="G440" s="44"/>
      <c r="H440" s="57"/>
      <c r="I440" s="4"/>
      <c r="J440" s="71"/>
      <c r="K440" s="14"/>
      <c r="L440" s="71"/>
      <c r="M440" s="71"/>
      <c r="N440" s="77"/>
      <c r="O440" s="17"/>
    </row>
    <row r="441" spans="1:15" x14ac:dyDescent="0.55000000000000004">
      <c r="A441" s="9"/>
      <c r="B441" s="10" t="s">
        <v>118</v>
      </c>
      <c r="C441" s="4" t="s">
        <v>109</v>
      </c>
      <c r="D441" s="5">
        <v>78</v>
      </c>
      <c r="E441" s="6">
        <v>75.36</v>
      </c>
      <c r="F441" s="16">
        <f t="shared" si="249"/>
        <v>5878.08</v>
      </c>
      <c r="G441" s="44">
        <v>1.3636124834494275E-4</v>
      </c>
      <c r="H441" s="57"/>
      <c r="I441" s="4" t="s">
        <v>109</v>
      </c>
      <c r="J441" s="71">
        <f t="shared" ref="J441:J442" si="274">H441*E441</f>
        <v>0</v>
      </c>
      <c r="K441" s="71">
        <v>0</v>
      </c>
      <c r="L441" s="71">
        <f t="shared" ref="L441:L442" si="275">H441*J441</f>
        <v>0</v>
      </c>
      <c r="M441" s="71">
        <f t="shared" ref="M441:M442" si="276">K441+L441</f>
        <v>0</v>
      </c>
      <c r="N441" s="77">
        <f t="shared" ref="N441:N442" si="277">M441/43106674.89</f>
        <v>0</v>
      </c>
      <c r="O441" s="17"/>
    </row>
    <row r="442" spans="1:15" x14ac:dyDescent="0.55000000000000004">
      <c r="A442" s="9"/>
      <c r="B442" s="10" t="s">
        <v>177</v>
      </c>
      <c r="C442" s="4" t="s">
        <v>109</v>
      </c>
      <c r="D442" s="5">
        <v>20</v>
      </c>
      <c r="E442" s="6">
        <v>311.01000000000005</v>
      </c>
      <c r="F442" s="16">
        <f t="shared" si="249"/>
        <v>6220.2000000000007</v>
      </c>
      <c r="G442" s="44">
        <v>1.44297838232078E-4</v>
      </c>
      <c r="H442" s="57"/>
      <c r="I442" s="4" t="s">
        <v>109</v>
      </c>
      <c r="J442" s="71">
        <f t="shared" si="274"/>
        <v>0</v>
      </c>
      <c r="K442" s="71">
        <v>0</v>
      </c>
      <c r="L442" s="71">
        <f t="shared" si="275"/>
        <v>0</v>
      </c>
      <c r="M442" s="71">
        <f t="shared" si="276"/>
        <v>0</v>
      </c>
      <c r="N442" s="77">
        <f t="shared" si="277"/>
        <v>0</v>
      </c>
      <c r="O442" s="17"/>
    </row>
    <row r="443" spans="1:15" x14ac:dyDescent="0.55000000000000004">
      <c r="A443" s="9"/>
      <c r="B443" s="10"/>
      <c r="C443" s="4"/>
      <c r="D443" s="5"/>
      <c r="E443" s="6"/>
      <c r="F443" s="16"/>
      <c r="G443" s="44"/>
      <c r="H443" s="57"/>
      <c r="I443" s="4"/>
      <c r="J443" s="71"/>
      <c r="K443" s="14"/>
      <c r="L443" s="71"/>
      <c r="M443" s="71"/>
      <c r="N443" s="77"/>
      <c r="O443" s="17"/>
    </row>
    <row r="444" spans="1:15" x14ac:dyDescent="0.55000000000000004">
      <c r="A444" s="9" t="s">
        <v>178</v>
      </c>
      <c r="B444" s="10" t="s">
        <v>121</v>
      </c>
      <c r="C444" s="4"/>
      <c r="D444" s="5"/>
      <c r="E444" s="6"/>
      <c r="F444" s="16"/>
      <c r="G444" s="44"/>
      <c r="H444" s="57"/>
      <c r="I444" s="4"/>
      <c r="J444" s="71"/>
      <c r="K444" s="14"/>
      <c r="L444" s="71"/>
      <c r="M444" s="71"/>
      <c r="N444" s="77"/>
      <c r="O444" s="17"/>
    </row>
    <row r="445" spans="1:15" x14ac:dyDescent="0.55000000000000004">
      <c r="A445" s="9"/>
      <c r="B445" s="10" t="s">
        <v>122</v>
      </c>
      <c r="C445" s="4" t="s">
        <v>91</v>
      </c>
      <c r="D445" s="5">
        <v>20</v>
      </c>
      <c r="E445" s="6">
        <v>1389.91</v>
      </c>
      <c r="F445" s="16">
        <f t="shared" si="249"/>
        <v>27798.2</v>
      </c>
      <c r="G445" s="44">
        <v>6.4486996668000228E-4</v>
      </c>
      <c r="H445" s="57"/>
      <c r="I445" s="4" t="s">
        <v>91</v>
      </c>
      <c r="J445" s="71">
        <f t="shared" ref="J445:J458" si="278">H445*E445</f>
        <v>0</v>
      </c>
      <c r="K445" s="71">
        <v>0</v>
      </c>
      <c r="L445" s="71">
        <f t="shared" ref="L445:L458" si="279">H445*J445</f>
        <v>0</v>
      </c>
      <c r="M445" s="71">
        <f t="shared" ref="M445:M458" si="280">K445+L445</f>
        <v>0</v>
      </c>
      <c r="N445" s="77">
        <f t="shared" ref="N445:N458" si="281">M445/43106674.89</f>
        <v>0</v>
      </c>
      <c r="O445" s="17"/>
    </row>
    <row r="446" spans="1:15" x14ac:dyDescent="0.55000000000000004">
      <c r="A446" s="9"/>
      <c r="B446" s="10" t="s">
        <v>123</v>
      </c>
      <c r="C446" s="4" t="s">
        <v>76</v>
      </c>
      <c r="D446" s="5">
        <v>7</v>
      </c>
      <c r="E446" s="6">
        <v>2523.2200000000003</v>
      </c>
      <c r="F446" s="16">
        <f t="shared" si="249"/>
        <v>17662.54</v>
      </c>
      <c r="G446" s="44">
        <v>4.0974025589010106E-4</v>
      </c>
      <c r="H446" s="57"/>
      <c r="I446" s="4" t="s">
        <v>76</v>
      </c>
      <c r="J446" s="71">
        <f t="shared" si="278"/>
        <v>0</v>
      </c>
      <c r="K446" s="71">
        <v>0</v>
      </c>
      <c r="L446" s="71">
        <f t="shared" si="279"/>
        <v>0</v>
      </c>
      <c r="M446" s="71">
        <f t="shared" si="280"/>
        <v>0</v>
      </c>
      <c r="N446" s="77">
        <f t="shared" si="281"/>
        <v>0</v>
      </c>
      <c r="O446" s="17"/>
    </row>
    <row r="447" spans="1:15" x14ac:dyDescent="0.55000000000000004">
      <c r="A447" s="9"/>
      <c r="B447" s="10" t="s">
        <v>124</v>
      </c>
      <c r="C447" s="4" t="s">
        <v>125</v>
      </c>
      <c r="D447" s="5">
        <v>24</v>
      </c>
      <c r="E447" s="6">
        <v>277.99000000000007</v>
      </c>
      <c r="F447" s="16">
        <f t="shared" si="249"/>
        <v>6671.760000000002</v>
      </c>
      <c r="G447" s="44">
        <v>1.5477324606978052E-4</v>
      </c>
      <c r="H447" s="57"/>
      <c r="I447" s="4" t="s">
        <v>125</v>
      </c>
      <c r="J447" s="71">
        <f t="shared" si="278"/>
        <v>0</v>
      </c>
      <c r="K447" s="71">
        <v>0</v>
      </c>
      <c r="L447" s="71">
        <f t="shared" si="279"/>
        <v>0</v>
      </c>
      <c r="M447" s="71">
        <f t="shared" si="280"/>
        <v>0</v>
      </c>
      <c r="N447" s="77">
        <f t="shared" si="281"/>
        <v>0</v>
      </c>
      <c r="O447" s="17"/>
    </row>
    <row r="448" spans="1:15" x14ac:dyDescent="0.55000000000000004">
      <c r="A448" s="9"/>
      <c r="B448" s="10" t="s">
        <v>126</v>
      </c>
      <c r="C448" s="4" t="s">
        <v>127</v>
      </c>
      <c r="D448" s="5">
        <v>47</v>
      </c>
      <c r="E448" s="6">
        <v>374.21999999999991</v>
      </c>
      <c r="F448" s="16">
        <f t="shared" si="249"/>
        <v>17588.339999999997</v>
      </c>
      <c r="G448" s="44">
        <v>4.0801894474306065E-4</v>
      </c>
      <c r="H448" s="57"/>
      <c r="I448" s="4" t="s">
        <v>127</v>
      </c>
      <c r="J448" s="71">
        <f t="shared" si="278"/>
        <v>0</v>
      </c>
      <c r="K448" s="71">
        <v>0</v>
      </c>
      <c r="L448" s="71">
        <f t="shared" si="279"/>
        <v>0</v>
      </c>
      <c r="M448" s="71">
        <f t="shared" si="280"/>
        <v>0</v>
      </c>
      <c r="N448" s="77">
        <f t="shared" si="281"/>
        <v>0</v>
      </c>
      <c r="O448" s="17"/>
    </row>
    <row r="449" spans="1:15" x14ac:dyDescent="0.55000000000000004">
      <c r="A449" s="9"/>
      <c r="B449" s="10" t="s">
        <v>128</v>
      </c>
      <c r="C449" s="4" t="s">
        <v>76</v>
      </c>
      <c r="D449" s="5">
        <v>104</v>
      </c>
      <c r="E449" s="6">
        <v>171.07</v>
      </c>
      <c r="F449" s="16">
        <f t="shared" si="249"/>
        <v>17791.28</v>
      </c>
      <c r="G449" s="44">
        <v>4.1272680032500628E-4</v>
      </c>
      <c r="H449" s="57"/>
      <c r="I449" s="4" t="s">
        <v>76</v>
      </c>
      <c r="J449" s="71">
        <f t="shared" si="278"/>
        <v>0</v>
      </c>
      <c r="K449" s="71">
        <v>0</v>
      </c>
      <c r="L449" s="71">
        <f t="shared" si="279"/>
        <v>0</v>
      </c>
      <c r="M449" s="71">
        <f t="shared" si="280"/>
        <v>0</v>
      </c>
      <c r="N449" s="77">
        <f t="shared" si="281"/>
        <v>0</v>
      </c>
      <c r="O449" s="17"/>
    </row>
    <row r="450" spans="1:15" x14ac:dyDescent="0.55000000000000004">
      <c r="A450" s="9"/>
      <c r="B450" s="10" t="s">
        <v>129</v>
      </c>
      <c r="C450" s="4" t="s">
        <v>91</v>
      </c>
      <c r="D450" s="5">
        <v>32</v>
      </c>
      <c r="E450" s="6">
        <v>21.39</v>
      </c>
      <c r="F450" s="16">
        <f t="shared" si="249"/>
        <v>684.48</v>
      </c>
      <c r="G450" s="44">
        <v>1.5878747357495374E-5</v>
      </c>
      <c r="H450" s="57"/>
      <c r="I450" s="4" t="s">
        <v>91</v>
      </c>
      <c r="J450" s="71">
        <f t="shared" si="278"/>
        <v>0</v>
      </c>
      <c r="K450" s="71">
        <v>0</v>
      </c>
      <c r="L450" s="71">
        <f t="shared" si="279"/>
        <v>0</v>
      </c>
      <c r="M450" s="71">
        <f t="shared" si="280"/>
        <v>0</v>
      </c>
      <c r="N450" s="77">
        <f t="shared" si="281"/>
        <v>0</v>
      </c>
      <c r="O450" s="17"/>
    </row>
    <row r="451" spans="1:15" x14ac:dyDescent="0.55000000000000004">
      <c r="A451" s="9"/>
      <c r="B451" s="10" t="s">
        <v>130</v>
      </c>
      <c r="C451" s="4" t="s">
        <v>91</v>
      </c>
      <c r="D451" s="5">
        <v>32</v>
      </c>
      <c r="E451" s="6">
        <v>10.699999999999998</v>
      </c>
      <c r="F451" s="16">
        <f t="shared" si="249"/>
        <v>342.39999999999992</v>
      </c>
      <c r="G451" s="44">
        <v>7.9430854008976387E-6</v>
      </c>
      <c r="H451" s="57"/>
      <c r="I451" s="4" t="s">
        <v>91</v>
      </c>
      <c r="J451" s="71">
        <f t="shared" si="278"/>
        <v>0</v>
      </c>
      <c r="K451" s="71">
        <v>0</v>
      </c>
      <c r="L451" s="71">
        <f t="shared" si="279"/>
        <v>0</v>
      </c>
      <c r="M451" s="71">
        <f t="shared" si="280"/>
        <v>0</v>
      </c>
      <c r="N451" s="77">
        <f t="shared" si="281"/>
        <v>0</v>
      </c>
      <c r="O451" s="17"/>
    </row>
    <row r="452" spans="1:15" x14ac:dyDescent="0.55000000000000004">
      <c r="A452" s="9"/>
      <c r="B452" s="10" t="s">
        <v>131</v>
      </c>
      <c r="C452" s="4" t="s">
        <v>132</v>
      </c>
      <c r="D452" s="5">
        <v>1</v>
      </c>
      <c r="E452" s="6">
        <v>3432</v>
      </c>
      <c r="F452" s="16">
        <f t="shared" si="249"/>
        <v>3432</v>
      </c>
      <c r="G452" s="44">
        <v>7.9616440116474005E-5</v>
      </c>
      <c r="H452" s="57"/>
      <c r="I452" s="4" t="s">
        <v>132</v>
      </c>
      <c r="J452" s="71">
        <f t="shared" si="278"/>
        <v>0</v>
      </c>
      <c r="K452" s="71">
        <v>0</v>
      </c>
      <c r="L452" s="71">
        <f t="shared" si="279"/>
        <v>0</v>
      </c>
      <c r="M452" s="71">
        <f t="shared" si="280"/>
        <v>0</v>
      </c>
      <c r="N452" s="77">
        <f t="shared" si="281"/>
        <v>0</v>
      </c>
      <c r="O452" s="17"/>
    </row>
    <row r="453" spans="1:15" x14ac:dyDescent="0.55000000000000004">
      <c r="A453" s="9"/>
      <c r="B453" s="10" t="s">
        <v>133</v>
      </c>
      <c r="C453" s="4" t="s">
        <v>91</v>
      </c>
      <c r="D453" s="5">
        <v>393</v>
      </c>
      <c r="E453" s="6">
        <v>42.78</v>
      </c>
      <c r="F453" s="16">
        <f t="shared" si="249"/>
        <v>16812.54</v>
      </c>
      <c r="G453" s="44">
        <v>3.9002173196848018E-4</v>
      </c>
      <c r="H453" s="57"/>
      <c r="I453" s="4" t="s">
        <v>91</v>
      </c>
      <c r="J453" s="71">
        <f t="shared" si="278"/>
        <v>0</v>
      </c>
      <c r="K453" s="71">
        <v>0</v>
      </c>
      <c r="L453" s="71">
        <f t="shared" si="279"/>
        <v>0</v>
      </c>
      <c r="M453" s="71">
        <f t="shared" si="280"/>
        <v>0</v>
      </c>
      <c r="N453" s="77">
        <f t="shared" si="281"/>
        <v>0</v>
      </c>
      <c r="O453" s="17"/>
    </row>
    <row r="454" spans="1:15" x14ac:dyDescent="0.55000000000000004">
      <c r="A454" s="9"/>
      <c r="B454" s="10" t="s">
        <v>134</v>
      </c>
      <c r="C454" s="4" t="s">
        <v>135</v>
      </c>
      <c r="D454" s="5">
        <v>8</v>
      </c>
      <c r="E454" s="6">
        <v>14497.769999999999</v>
      </c>
      <c r="F454" s="16">
        <f t="shared" si="249"/>
        <v>115982.15999999999</v>
      </c>
      <c r="G454" s="44">
        <v>2.690584701695602E-3</v>
      </c>
      <c r="H454" s="57"/>
      <c r="I454" s="4" t="s">
        <v>135</v>
      </c>
      <c r="J454" s="71">
        <f t="shared" si="278"/>
        <v>0</v>
      </c>
      <c r="K454" s="71">
        <v>0</v>
      </c>
      <c r="L454" s="71">
        <f t="shared" si="279"/>
        <v>0</v>
      </c>
      <c r="M454" s="71">
        <f t="shared" si="280"/>
        <v>0</v>
      </c>
      <c r="N454" s="77">
        <f t="shared" si="281"/>
        <v>0</v>
      </c>
      <c r="O454" s="17"/>
    </row>
    <row r="455" spans="1:15" x14ac:dyDescent="0.55000000000000004">
      <c r="A455" s="9"/>
      <c r="B455" s="10" t="s">
        <v>136</v>
      </c>
      <c r="C455" s="4" t="s">
        <v>135</v>
      </c>
      <c r="D455" s="5">
        <v>4</v>
      </c>
      <c r="E455" s="6">
        <v>18175.66</v>
      </c>
      <c r="F455" s="16">
        <f t="shared" si="249"/>
        <v>72702.64</v>
      </c>
      <c r="G455" s="44">
        <v>1.6865749952999906E-3</v>
      </c>
      <c r="H455" s="57"/>
      <c r="I455" s="4" t="s">
        <v>135</v>
      </c>
      <c r="J455" s="71">
        <f t="shared" si="278"/>
        <v>0</v>
      </c>
      <c r="K455" s="71">
        <v>0</v>
      </c>
      <c r="L455" s="71">
        <f t="shared" si="279"/>
        <v>0</v>
      </c>
      <c r="M455" s="71">
        <f t="shared" si="280"/>
        <v>0</v>
      </c>
      <c r="N455" s="77">
        <f t="shared" si="281"/>
        <v>0</v>
      </c>
      <c r="O455" s="17"/>
    </row>
    <row r="456" spans="1:15" x14ac:dyDescent="0.55000000000000004">
      <c r="A456" s="9"/>
      <c r="B456" s="10" t="s">
        <v>137</v>
      </c>
      <c r="C456" s="4" t="s">
        <v>135</v>
      </c>
      <c r="D456" s="5">
        <v>12</v>
      </c>
      <c r="E456" s="6">
        <v>812.56999999999982</v>
      </c>
      <c r="F456" s="16">
        <f t="shared" si="249"/>
        <v>9750.8399999999983</v>
      </c>
      <c r="G456" s="44">
        <v>2.2620255505399745E-4</v>
      </c>
      <c r="H456" s="57"/>
      <c r="I456" s="4" t="s">
        <v>135</v>
      </c>
      <c r="J456" s="71">
        <f t="shared" si="278"/>
        <v>0</v>
      </c>
      <c r="K456" s="71">
        <v>0</v>
      </c>
      <c r="L456" s="71">
        <f t="shared" si="279"/>
        <v>0</v>
      </c>
      <c r="M456" s="71">
        <f t="shared" si="280"/>
        <v>0</v>
      </c>
      <c r="N456" s="77">
        <f t="shared" si="281"/>
        <v>0</v>
      </c>
      <c r="O456" s="17"/>
    </row>
    <row r="457" spans="1:15" x14ac:dyDescent="0.55000000000000004">
      <c r="A457" s="9"/>
      <c r="B457" s="10" t="s">
        <v>138</v>
      </c>
      <c r="C457" s="4" t="s">
        <v>91</v>
      </c>
      <c r="D457" s="5">
        <v>158</v>
      </c>
      <c r="E457" s="6">
        <v>53.47</v>
      </c>
      <c r="F457" s="16">
        <f t="shared" si="249"/>
        <v>8448.26</v>
      </c>
      <c r="G457" s="44">
        <v>1.9598496106596817E-4</v>
      </c>
      <c r="H457" s="57"/>
      <c r="I457" s="4" t="s">
        <v>91</v>
      </c>
      <c r="J457" s="71">
        <f t="shared" si="278"/>
        <v>0</v>
      </c>
      <c r="K457" s="71">
        <v>0</v>
      </c>
      <c r="L457" s="71">
        <f t="shared" si="279"/>
        <v>0</v>
      </c>
      <c r="M457" s="71">
        <f t="shared" si="280"/>
        <v>0</v>
      </c>
      <c r="N457" s="77">
        <f t="shared" si="281"/>
        <v>0</v>
      </c>
      <c r="O457" s="17"/>
    </row>
    <row r="458" spans="1:15" x14ac:dyDescent="0.55000000000000004">
      <c r="A458" s="9"/>
      <c r="B458" s="10" t="s">
        <v>139</v>
      </c>
      <c r="C458" s="4" t="s">
        <v>91</v>
      </c>
      <c r="D458" s="5">
        <v>1</v>
      </c>
      <c r="E458" s="6">
        <v>213.84</v>
      </c>
      <c r="F458" s="16">
        <f t="shared" si="249"/>
        <v>213.84</v>
      </c>
      <c r="G458" s="44">
        <v>4.9607166534110727E-6</v>
      </c>
      <c r="H458" s="57"/>
      <c r="I458" s="4" t="s">
        <v>91</v>
      </c>
      <c r="J458" s="71">
        <f t="shared" si="278"/>
        <v>0</v>
      </c>
      <c r="K458" s="71">
        <v>0</v>
      </c>
      <c r="L458" s="71">
        <f t="shared" si="279"/>
        <v>0</v>
      </c>
      <c r="M458" s="71">
        <f t="shared" si="280"/>
        <v>0</v>
      </c>
      <c r="N458" s="77">
        <f t="shared" si="281"/>
        <v>0</v>
      </c>
      <c r="O458" s="17"/>
    </row>
    <row r="459" spans="1:15" x14ac:dyDescent="0.55000000000000004">
      <c r="A459" s="9"/>
      <c r="B459" s="10"/>
      <c r="C459" s="4"/>
      <c r="D459" s="5"/>
      <c r="E459" s="6"/>
      <c r="F459" s="16"/>
      <c r="G459" s="44"/>
      <c r="H459" s="57"/>
      <c r="I459" s="4"/>
      <c r="J459" s="71"/>
      <c r="K459" s="14"/>
      <c r="L459" s="71"/>
      <c r="M459" s="71"/>
      <c r="N459" s="77"/>
      <c r="O459" s="17"/>
    </row>
    <row r="460" spans="1:15" x14ac:dyDescent="0.55000000000000004">
      <c r="A460" s="9" t="s">
        <v>179</v>
      </c>
      <c r="B460" s="10" t="s">
        <v>141</v>
      </c>
      <c r="C460" s="4" t="s">
        <v>5</v>
      </c>
      <c r="D460" s="5">
        <v>1</v>
      </c>
      <c r="E460" s="6">
        <v>737348.8400000002</v>
      </c>
      <c r="F460" s="16">
        <f t="shared" si="249"/>
        <v>737348.8400000002</v>
      </c>
      <c r="G460" s="44">
        <v>1.7105212635434613E-2</v>
      </c>
      <c r="H460" s="57">
        <v>1</v>
      </c>
      <c r="I460" s="4" t="s">
        <v>5</v>
      </c>
      <c r="J460" s="71"/>
      <c r="K460" s="71">
        <v>0</v>
      </c>
      <c r="L460" s="71">
        <f t="shared" ref="L460" si="282">H460*J460</f>
        <v>0</v>
      </c>
      <c r="M460" s="71">
        <f t="shared" ref="M460" si="283">K460+L460</f>
        <v>0</v>
      </c>
      <c r="N460" s="77">
        <f t="shared" ref="N460" si="284">M460/43106674.89</f>
        <v>0</v>
      </c>
      <c r="O460" s="17"/>
    </row>
    <row r="461" spans="1:15" x14ac:dyDescent="0.55000000000000004">
      <c r="A461" s="9"/>
      <c r="B461" s="10"/>
      <c r="C461" s="4"/>
      <c r="D461" s="5"/>
      <c r="E461" s="6"/>
      <c r="F461" s="16"/>
      <c r="G461" s="44"/>
      <c r="H461" s="57"/>
      <c r="I461" s="4"/>
      <c r="J461" s="71"/>
      <c r="K461" s="14"/>
      <c r="L461" s="71"/>
      <c r="M461" s="71"/>
      <c r="N461" s="77"/>
      <c r="O461" s="17"/>
    </row>
    <row r="462" spans="1:15" x14ac:dyDescent="0.55000000000000004">
      <c r="A462" s="9" t="s">
        <v>180</v>
      </c>
      <c r="B462" s="10" t="s">
        <v>143</v>
      </c>
      <c r="C462" s="4" t="s">
        <v>5</v>
      </c>
      <c r="D462" s="5">
        <v>1</v>
      </c>
      <c r="E462" s="6">
        <v>7277.91</v>
      </c>
      <c r="F462" s="16">
        <f t="shared" si="249"/>
        <v>7277.91</v>
      </c>
      <c r="G462" s="44">
        <v>1.688348734522399E-4</v>
      </c>
      <c r="H462" s="57">
        <v>1</v>
      </c>
      <c r="I462" s="4" t="s">
        <v>5</v>
      </c>
      <c r="J462" s="71"/>
      <c r="K462" s="71">
        <v>0</v>
      </c>
      <c r="L462" s="71">
        <f t="shared" ref="L462" si="285">H462*J462</f>
        <v>0</v>
      </c>
      <c r="M462" s="71">
        <f t="shared" ref="M462" si="286">K462+L462</f>
        <v>0</v>
      </c>
      <c r="N462" s="77">
        <f t="shared" ref="N462" si="287">M462/43106674.89</f>
        <v>0</v>
      </c>
      <c r="O462" s="17"/>
    </row>
    <row r="463" spans="1:15" x14ac:dyDescent="0.55000000000000004">
      <c r="A463" s="9"/>
      <c r="B463" s="10"/>
      <c r="C463" s="4"/>
      <c r="D463" s="5"/>
      <c r="E463" s="6"/>
      <c r="F463" s="16"/>
      <c r="G463" s="44"/>
      <c r="H463" s="57"/>
      <c r="I463" s="4"/>
      <c r="J463" s="71"/>
      <c r="K463" s="14"/>
      <c r="L463" s="71"/>
      <c r="M463" s="71"/>
      <c r="N463" s="77"/>
      <c r="O463" s="17"/>
    </row>
    <row r="464" spans="1:15" x14ac:dyDescent="0.55000000000000004">
      <c r="A464" s="9" t="s">
        <v>181</v>
      </c>
      <c r="B464" s="10" t="s">
        <v>145</v>
      </c>
      <c r="C464" s="4" t="s">
        <v>5</v>
      </c>
      <c r="D464" s="5">
        <v>1</v>
      </c>
      <c r="E464" s="6">
        <v>44240.94</v>
      </c>
      <c r="F464" s="16">
        <f t="shared" si="249"/>
        <v>44240.94</v>
      </c>
      <c r="G464" s="44">
        <v>1.0263129808294055E-3</v>
      </c>
      <c r="H464" s="57">
        <v>1</v>
      </c>
      <c r="I464" s="4" t="s">
        <v>5</v>
      </c>
      <c r="J464" s="71"/>
      <c r="K464" s="71">
        <v>0</v>
      </c>
      <c r="L464" s="71">
        <f t="shared" ref="L464" si="288">H464*J464</f>
        <v>0</v>
      </c>
      <c r="M464" s="71">
        <f t="shared" ref="M464" si="289">K464+L464</f>
        <v>0</v>
      </c>
      <c r="N464" s="77">
        <f t="shared" ref="N464" si="290">M464/43106674.89</f>
        <v>0</v>
      </c>
      <c r="O464" s="17"/>
    </row>
    <row r="465" spans="1:15" x14ac:dyDescent="0.55000000000000004">
      <c r="A465" s="2"/>
      <c r="B465" s="11"/>
      <c r="C465" s="4"/>
      <c r="D465" s="5"/>
      <c r="E465" s="6"/>
      <c r="F465" s="16"/>
      <c r="G465" s="44"/>
      <c r="H465" s="57"/>
      <c r="I465" s="4"/>
      <c r="J465" s="71"/>
      <c r="K465" s="14"/>
      <c r="L465" s="71"/>
      <c r="M465" s="71"/>
      <c r="N465" s="77"/>
      <c r="O465" s="17"/>
    </row>
    <row r="466" spans="1:15" x14ac:dyDescent="0.55000000000000004">
      <c r="A466" s="2"/>
      <c r="B466" s="11"/>
      <c r="C466" s="4"/>
      <c r="D466" s="5"/>
      <c r="E466" s="6"/>
      <c r="F466" s="16"/>
      <c r="G466" s="44"/>
      <c r="H466" s="57"/>
      <c r="I466" s="4"/>
      <c r="J466" s="71"/>
      <c r="K466" s="14"/>
      <c r="L466" s="71"/>
      <c r="M466" s="71"/>
      <c r="N466" s="77"/>
      <c r="O466" s="17"/>
    </row>
    <row r="467" spans="1:15" x14ac:dyDescent="0.55000000000000004">
      <c r="A467" s="23"/>
      <c r="B467" s="24"/>
      <c r="C467" s="25"/>
      <c r="D467" s="26"/>
      <c r="E467" s="33"/>
      <c r="F467" s="16"/>
      <c r="G467" s="44"/>
      <c r="H467" s="57"/>
      <c r="I467" s="25"/>
      <c r="J467" s="71"/>
      <c r="K467" s="14"/>
      <c r="L467" s="71"/>
      <c r="M467" s="71"/>
      <c r="N467" s="77"/>
      <c r="O467" s="17"/>
    </row>
    <row r="468" spans="1:15" x14ac:dyDescent="0.55000000000000004">
      <c r="A468" s="28" t="s">
        <v>182</v>
      </c>
      <c r="B468" s="29" t="s">
        <v>183</v>
      </c>
      <c r="C468" s="28"/>
      <c r="D468" s="34"/>
      <c r="E468" s="32"/>
      <c r="F468" s="16"/>
      <c r="G468" s="44"/>
      <c r="H468" s="57"/>
      <c r="I468" s="28"/>
      <c r="J468" s="71"/>
      <c r="K468" s="14"/>
      <c r="L468" s="71"/>
      <c r="M468" s="71"/>
      <c r="N468" s="77"/>
      <c r="O468" s="17"/>
    </row>
    <row r="469" spans="1:15" x14ac:dyDescent="0.55000000000000004">
      <c r="A469" s="9"/>
      <c r="B469" s="11" t="s">
        <v>184</v>
      </c>
      <c r="C469" s="4"/>
      <c r="D469" s="12"/>
      <c r="E469" s="13"/>
      <c r="F469" s="16"/>
      <c r="G469" s="44"/>
      <c r="H469" s="57"/>
      <c r="I469" s="4"/>
      <c r="J469" s="71"/>
      <c r="K469" s="14"/>
      <c r="L469" s="71"/>
      <c r="M469" s="71"/>
      <c r="N469" s="77"/>
      <c r="O469" s="17"/>
    </row>
    <row r="470" spans="1:15" x14ac:dyDescent="0.55000000000000004">
      <c r="A470" s="9" t="s">
        <v>185</v>
      </c>
      <c r="B470" s="11" t="s">
        <v>186</v>
      </c>
      <c r="C470" s="4"/>
      <c r="D470" s="12"/>
      <c r="E470" s="7"/>
      <c r="F470" s="16"/>
      <c r="G470" s="44"/>
      <c r="H470" s="57"/>
      <c r="I470" s="4"/>
      <c r="J470" s="71"/>
      <c r="K470" s="14"/>
      <c r="L470" s="71"/>
      <c r="M470" s="71"/>
      <c r="N470" s="77"/>
      <c r="O470" s="17"/>
    </row>
    <row r="471" spans="1:15" x14ac:dyDescent="0.55000000000000004">
      <c r="A471" s="9"/>
      <c r="B471" s="11"/>
      <c r="C471" s="4"/>
      <c r="D471" s="12"/>
      <c r="E471" s="13"/>
      <c r="F471" s="16"/>
      <c r="G471" s="44"/>
      <c r="H471" s="57"/>
      <c r="I471" s="4"/>
      <c r="J471" s="71"/>
      <c r="K471" s="14"/>
      <c r="L471" s="71"/>
      <c r="M471" s="71"/>
      <c r="N471" s="77"/>
      <c r="O471" s="17"/>
    </row>
    <row r="472" spans="1:15" x14ac:dyDescent="0.55000000000000004">
      <c r="A472" s="9" t="s">
        <v>187</v>
      </c>
      <c r="B472" s="11" t="s">
        <v>188</v>
      </c>
      <c r="C472" s="4"/>
      <c r="D472" s="12"/>
      <c r="E472" s="6"/>
      <c r="F472" s="16"/>
      <c r="G472" s="44"/>
      <c r="H472" s="57"/>
      <c r="I472" s="4"/>
      <c r="J472" s="71"/>
      <c r="K472" s="14"/>
      <c r="L472" s="71"/>
      <c r="M472" s="71"/>
      <c r="N472" s="77"/>
      <c r="O472" s="17"/>
    </row>
    <row r="473" spans="1:15" x14ac:dyDescent="0.55000000000000004">
      <c r="A473" s="9"/>
      <c r="B473" s="11" t="s">
        <v>189</v>
      </c>
      <c r="C473" s="4"/>
      <c r="D473" s="12"/>
      <c r="E473" s="6"/>
      <c r="F473" s="16"/>
      <c r="G473" s="44"/>
      <c r="H473" s="57"/>
      <c r="I473" s="4"/>
      <c r="J473" s="71"/>
      <c r="K473" s="14"/>
      <c r="L473" s="71"/>
      <c r="M473" s="71"/>
      <c r="N473" s="77"/>
      <c r="O473" s="17"/>
    </row>
    <row r="474" spans="1:15" x14ac:dyDescent="0.55000000000000004">
      <c r="A474" s="9"/>
      <c r="B474" s="11" t="s">
        <v>190</v>
      </c>
      <c r="C474" s="4" t="s">
        <v>109</v>
      </c>
      <c r="D474" s="12">
        <v>726</v>
      </c>
      <c r="E474" s="6">
        <v>7092.3600000000015</v>
      </c>
      <c r="F474" s="16">
        <f t="shared" si="249"/>
        <v>5149053.3600000013</v>
      </c>
      <c r="G474" s="44">
        <v>0.11944909629748525</v>
      </c>
      <c r="H474" s="57"/>
      <c r="I474" s="4" t="s">
        <v>109</v>
      </c>
      <c r="J474" s="71">
        <f t="shared" ref="J474:J476" si="291">H474*E474</f>
        <v>0</v>
      </c>
      <c r="K474" s="71">
        <v>0</v>
      </c>
      <c r="L474" s="71">
        <f t="shared" ref="L474:L476" si="292">H474*J474</f>
        <v>0</v>
      </c>
      <c r="M474" s="71">
        <f t="shared" ref="M474:M476" si="293">K474+L474</f>
        <v>0</v>
      </c>
      <c r="N474" s="77">
        <f t="shared" ref="N474:N476" si="294">M474/43106674.89</f>
        <v>0</v>
      </c>
      <c r="O474" s="17"/>
    </row>
    <row r="475" spans="1:15" x14ac:dyDescent="0.55000000000000004">
      <c r="A475" s="9"/>
      <c r="B475" s="11" t="s">
        <v>191</v>
      </c>
      <c r="C475" s="4" t="s">
        <v>109</v>
      </c>
      <c r="D475" s="12">
        <v>117</v>
      </c>
      <c r="E475" s="6">
        <v>5509.16</v>
      </c>
      <c r="F475" s="16">
        <f t="shared" ref="F475:F537" si="295">D475*E475</f>
        <v>644571.72</v>
      </c>
      <c r="G475" s="44">
        <v>1.4952944564729793E-2</v>
      </c>
      <c r="H475" s="57"/>
      <c r="I475" s="4" t="s">
        <v>109</v>
      </c>
      <c r="J475" s="71">
        <f t="shared" si="291"/>
        <v>0</v>
      </c>
      <c r="K475" s="71">
        <v>0</v>
      </c>
      <c r="L475" s="71">
        <f t="shared" si="292"/>
        <v>0</v>
      </c>
      <c r="M475" s="71">
        <f t="shared" si="293"/>
        <v>0</v>
      </c>
      <c r="N475" s="77">
        <f t="shared" si="294"/>
        <v>0</v>
      </c>
      <c r="O475" s="17"/>
    </row>
    <row r="476" spans="1:15" x14ac:dyDescent="0.55000000000000004">
      <c r="A476" s="9"/>
      <c r="B476" s="11" t="s">
        <v>192</v>
      </c>
      <c r="C476" s="4" t="s">
        <v>109</v>
      </c>
      <c r="D476" s="12">
        <v>390</v>
      </c>
      <c r="E476" s="6">
        <v>1126.48</v>
      </c>
      <c r="F476" s="16">
        <f t="shared" si="295"/>
        <v>439327.2</v>
      </c>
      <c r="G476" s="44">
        <v>1.0191628120727913E-2</v>
      </c>
      <c r="H476" s="57"/>
      <c r="I476" s="4" t="s">
        <v>109</v>
      </c>
      <c r="J476" s="71">
        <f t="shared" si="291"/>
        <v>0</v>
      </c>
      <c r="K476" s="71">
        <v>0</v>
      </c>
      <c r="L476" s="71">
        <f t="shared" si="292"/>
        <v>0</v>
      </c>
      <c r="M476" s="71">
        <f t="shared" si="293"/>
        <v>0</v>
      </c>
      <c r="N476" s="77">
        <f t="shared" si="294"/>
        <v>0</v>
      </c>
      <c r="O476" s="17"/>
    </row>
    <row r="477" spans="1:15" x14ac:dyDescent="0.55000000000000004">
      <c r="A477" s="9"/>
      <c r="B477" s="11" t="s">
        <v>117</v>
      </c>
      <c r="C477" s="4"/>
      <c r="D477" s="12"/>
      <c r="E477" s="6"/>
      <c r="F477" s="16"/>
      <c r="G477" s="44"/>
      <c r="H477" s="57"/>
      <c r="I477" s="4"/>
      <c r="J477" s="71"/>
      <c r="K477" s="14"/>
      <c r="L477" s="71"/>
      <c r="M477" s="71"/>
      <c r="N477" s="77"/>
      <c r="O477" s="17"/>
    </row>
    <row r="478" spans="1:15" x14ac:dyDescent="0.55000000000000004">
      <c r="A478" s="9"/>
      <c r="B478" s="11" t="s">
        <v>193</v>
      </c>
      <c r="C478" s="4" t="s">
        <v>109</v>
      </c>
      <c r="D478" s="12">
        <v>242</v>
      </c>
      <c r="E478" s="6">
        <v>2129.7600000000002</v>
      </c>
      <c r="F478" s="16">
        <f t="shared" si="295"/>
        <v>515401.92000000004</v>
      </c>
      <c r="G478" s="44">
        <v>1.1956429516199222E-2</v>
      </c>
      <c r="H478" s="57"/>
      <c r="I478" s="4" t="s">
        <v>109</v>
      </c>
      <c r="J478" s="71">
        <f t="shared" ref="J478:J480" si="296">H478*E478</f>
        <v>0</v>
      </c>
      <c r="K478" s="71">
        <v>0</v>
      </c>
      <c r="L478" s="71">
        <f t="shared" ref="L478:L480" si="297">H478*J478</f>
        <v>0</v>
      </c>
      <c r="M478" s="71">
        <f t="shared" ref="M478:M480" si="298">K478+L478</f>
        <v>0</v>
      </c>
      <c r="N478" s="77">
        <f t="shared" ref="N478:N480" si="299">M478/43106674.89</f>
        <v>0</v>
      </c>
      <c r="O478" s="17"/>
    </row>
    <row r="479" spans="1:15" x14ac:dyDescent="0.55000000000000004">
      <c r="A479" s="9"/>
      <c r="B479" s="11" t="s">
        <v>194</v>
      </c>
      <c r="C479" s="4" t="s">
        <v>109</v>
      </c>
      <c r="D479" s="12">
        <v>39</v>
      </c>
      <c r="E479" s="6">
        <v>823.68999999999994</v>
      </c>
      <c r="F479" s="16">
        <f t="shared" si="295"/>
        <v>32123.909999999996</v>
      </c>
      <c r="G479" s="44">
        <v>7.4521892681293713E-4</v>
      </c>
      <c r="H479" s="57"/>
      <c r="I479" s="4" t="s">
        <v>109</v>
      </c>
      <c r="J479" s="71">
        <f t="shared" si="296"/>
        <v>0</v>
      </c>
      <c r="K479" s="71">
        <v>0</v>
      </c>
      <c r="L479" s="71">
        <f t="shared" si="297"/>
        <v>0</v>
      </c>
      <c r="M479" s="71">
        <f t="shared" si="298"/>
        <v>0</v>
      </c>
      <c r="N479" s="77">
        <f t="shared" si="299"/>
        <v>0</v>
      </c>
      <c r="O479" s="17"/>
    </row>
    <row r="480" spans="1:15" x14ac:dyDescent="0.55000000000000004">
      <c r="A480" s="9"/>
      <c r="B480" s="11" t="s">
        <v>195</v>
      </c>
      <c r="C480" s="4" t="s">
        <v>109</v>
      </c>
      <c r="D480" s="12">
        <v>130</v>
      </c>
      <c r="E480" s="6">
        <v>358.86999999999995</v>
      </c>
      <c r="F480" s="16">
        <f t="shared" si="295"/>
        <v>46653.099999999991</v>
      </c>
      <c r="G480" s="44">
        <v>1.0822709039620842E-3</v>
      </c>
      <c r="H480" s="57"/>
      <c r="I480" s="4" t="s">
        <v>109</v>
      </c>
      <c r="J480" s="71">
        <f t="shared" si="296"/>
        <v>0</v>
      </c>
      <c r="K480" s="71">
        <v>0</v>
      </c>
      <c r="L480" s="71">
        <f t="shared" si="297"/>
        <v>0</v>
      </c>
      <c r="M480" s="71">
        <f t="shared" si="298"/>
        <v>0</v>
      </c>
      <c r="N480" s="77">
        <f t="shared" si="299"/>
        <v>0</v>
      </c>
      <c r="O480" s="17"/>
    </row>
    <row r="481" spans="1:15" x14ac:dyDescent="0.55000000000000004">
      <c r="A481" s="9"/>
      <c r="B481" s="11" t="s">
        <v>196</v>
      </c>
      <c r="C481" s="4"/>
      <c r="D481" s="12"/>
      <c r="E481" s="6"/>
      <c r="F481" s="16"/>
      <c r="G481" s="44"/>
      <c r="H481" s="57"/>
      <c r="I481" s="4"/>
      <c r="J481" s="71"/>
      <c r="K481" s="14"/>
      <c r="L481" s="71"/>
      <c r="M481" s="71"/>
      <c r="N481" s="77"/>
      <c r="O481" s="17"/>
    </row>
    <row r="482" spans="1:15" x14ac:dyDescent="0.55000000000000004">
      <c r="A482" s="9"/>
      <c r="B482" s="11" t="s">
        <v>197</v>
      </c>
      <c r="C482" s="4" t="s">
        <v>76</v>
      </c>
      <c r="D482" s="12">
        <v>94</v>
      </c>
      <c r="E482" s="6">
        <v>9301.67</v>
      </c>
      <c r="F482" s="16">
        <f t="shared" si="295"/>
        <v>874356.98</v>
      </c>
      <c r="G482" s="44">
        <v>2.028356356019553E-2</v>
      </c>
      <c r="H482" s="57"/>
      <c r="I482" s="4" t="s">
        <v>76</v>
      </c>
      <c r="J482" s="71">
        <f t="shared" ref="J482:J483" si="300">H482*E482</f>
        <v>0</v>
      </c>
      <c r="K482" s="71">
        <v>0</v>
      </c>
      <c r="L482" s="71">
        <f t="shared" ref="L482:L483" si="301">H482*J482</f>
        <v>0</v>
      </c>
      <c r="M482" s="71">
        <f t="shared" ref="M482:M483" si="302">K482+L482</f>
        <v>0</v>
      </c>
      <c r="N482" s="77">
        <f t="shared" ref="N482:N483" si="303">M482/43106674.89</f>
        <v>0</v>
      </c>
      <c r="O482" s="17"/>
    </row>
    <row r="483" spans="1:15" x14ac:dyDescent="0.55000000000000004">
      <c r="A483" s="9"/>
      <c r="B483" s="11" t="s">
        <v>198</v>
      </c>
      <c r="C483" s="4" t="s">
        <v>76</v>
      </c>
      <c r="D483" s="12">
        <v>45</v>
      </c>
      <c r="E483" s="6">
        <v>2672.8999999999996</v>
      </c>
      <c r="F483" s="16">
        <f t="shared" si="295"/>
        <v>120280.49999999999</v>
      </c>
      <c r="G483" s="44">
        <v>2.7902987253582605E-3</v>
      </c>
      <c r="H483" s="57"/>
      <c r="I483" s="4" t="s">
        <v>76</v>
      </c>
      <c r="J483" s="71">
        <f t="shared" si="300"/>
        <v>0</v>
      </c>
      <c r="K483" s="71">
        <v>0</v>
      </c>
      <c r="L483" s="71">
        <f t="shared" si="301"/>
        <v>0</v>
      </c>
      <c r="M483" s="71">
        <f t="shared" si="302"/>
        <v>0</v>
      </c>
      <c r="N483" s="77">
        <f t="shared" si="303"/>
        <v>0</v>
      </c>
      <c r="O483" s="17"/>
    </row>
    <row r="484" spans="1:15" x14ac:dyDescent="0.55000000000000004">
      <c r="A484" s="9"/>
      <c r="B484" s="11"/>
      <c r="C484" s="4"/>
      <c r="D484" s="12"/>
      <c r="E484" s="6"/>
      <c r="F484" s="16"/>
      <c r="G484" s="44"/>
      <c r="H484" s="57"/>
      <c r="I484" s="4"/>
      <c r="J484" s="71"/>
      <c r="K484" s="14"/>
      <c r="L484" s="71"/>
      <c r="M484" s="71"/>
      <c r="N484" s="77"/>
      <c r="O484" s="17"/>
    </row>
    <row r="485" spans="1:15" x14ac:dyDescent="0.55000000000000004">
      <c r="A485" s="9" t="s">
        <v>199</v>
      </c>
      <c r="B485" s="11" t="s">
        <v>200</v>
      </c>
      <c r="C485" s="4"/>
      <c r="D485" s="12"/>
      <c r="E485" s="6"/>
      <c r="F485" s="16"/>
      <c r="G485" s="44"/>
      <c r="H485" s="57"/>
      <c r="I485" s="4"/>
      <c r="J485" s="71"/>
      <c r="K485" s="14"/>
      <c r="L485" s="71"/>
      <c r="M485" s="71"/>
      <c r="N485" s="77"/>
      <c r="O485" s="17"/>
    </row>
    <row r="486" spans="1:15" x14ac:dyDescent="0.55000000000000004">
      <c r="A486" s="9"/>
      <c r="B486" s="11" t="s">
        <v>201</v>
      </c>
      <c r="C486" s="4" t="s">
        <v>202</v>
      </c>
      <c r="D486" s="12">
        <v>1</v>
      </c>
      <c r="E486" s="6">
        <v>772225.45000000007</v>
      </c>
      <c r="F486" s="16">
        <f t="shared" si="295"/>
        <v>772225.45000000007</v>
      </c>
      <c r="G486" s="44">
        <v>1.7914289422011131E-2</v>
      </c>
      <c r="H486" s="57"/>
      <c r="I486" s="4" t="s">
        <v>202</v>
      </c>
      <c r="J486" s="71">
        <f t="shared" ref="J486" si="304">H486*E486</f>
        <v>0</v>
      </c>
      <c r="K486" s="71">
        <v>0</v>
      </c>
      <c r="L486" s="71">
        <f t="shared" ref="L486" si="305">H486*J486</f>
        <v>0</v>
      </c>
      <c r="M486" s="71">
        <f t="shared" ref="M486" si="306">K486+L486</f>
        <v>0</v>
      </c>
      <c r="N486" s="77">
        <f t="shared" ref="N486" si="307">M486/43106674.89</f>
        <v>0</v>
      </c>
      <c r="O486" s="17"/>
    </row>
    <row r="487" spans="1:15" x14ac:dyDescent="0.55000000000000004">
      <c r="A487" s="9"/>
      <c r="B487" s="11" t="s">
        <v>203</v>
      </c>
      <c r="C487" s="4"/>
      <c r="D487" s="12"/>
      <c r="E487" s="6"/>
      <c r="F487" s="16"/>
      <c r="G487" s="44"/>
      <c r="H487" s="57"/>
      <c r="I487" s="4"/>
      <c r="J487" s="71"/>
      <c r="K487" s="14"/>
      <c r="L487" s="71"/>
      <c r="M487" s="71"/>
      <c r="N487" s="77"/>
      <c r="O487" s="17"/>
    </row>
    <row r="488" spans="1:15" x14ac:dyDescent="0.55000000000000004">
      <c r="A488" s="9"/>
      <c r="B488" s="11" t="s">
        <v>204</v>
      </c>
      <c r="C488" s="4"/>
      <c r="D488" s="12"/>
      <c r="E488" s="6"/>
      <c r="F488" s="16"/>
      <c r="G488" s="44"/>
      <c r="H488" s="57"/>
      <c r="I488" s="4"/>
      <c r="J488" s="71"/>
      <c r="K488" s="14"/>
      <c r="L488" s="71"/>
      <c r="M488" s="71"/>
      <c r="N488" s="77"/>
      <c r="O488" s="17"/>
    </row>
    <row r="489" spans="1:15" x14ac:dyDescent="0.55000000000000004">
      <c r="A489" s="9"/>
      <c r="B489" s="11" t="s">
        <v>205</v>
      </c>
      <c r="C489" s="4"/>
      <c r="D489" s="12"/>
      <c r="E489" s="6"/>
      <c r="F489" s="16"/>
      <c r="G489" s="44"/>
      <c r="H489" s="57"/>
      <c r="I489" s="4"/>
      <c r="J489" s="71"/>
      <c r="K489" s="14"/>
      <c r="L489" s="71"/>
      <c r="M489" s="71"/>
      <c r="N489" s="77"/>
      <c r="O489" s="17"/>
    </row>
    <row r="490" spans="1:15" x14ac:dyDescent="0.55000000000000004">
      <c r="A490" s="9"/>
      <c r="B490" s="11"/>
      <c r="C490" s="4"/>
      <c r="D490" s="12"/>
      <c r="E490" s="6"/>
      <c r="F490" s="16"/>
      <c r="G490" s="44"/>
      <c r="H490" s="57"/>
      <c r="I490" s="4"/>
      <c r="J490" s="71"/>
      <c r="K490" s="14"/>
      <c r="L490" s="71"/>
      <c r="M490" s="71"/>
      <c r="N490" s="77"/>
      <c r="O490" s="17"/>
    </row>
    <row r="491" spans="1:15" x14ac:dyDescent="0.55000000000000004">
      <c r="A491" s="9"/>
      <c r="B491" s="11" t="s">
        <v>206</v>
      </c>
      <c r="C491" s="4" t="s">
        <v>202</v>
      </c>
      <c r="D491" s="12">
        <v>1</v>
      </c>
      <c r="E491" s="6">
        <v>125827.10999999999</v>
      </c>
      <c r="F491" s="16">
        <f t="shared" si="295"/>
        <v>125827.10999999999</v>
      </c>
      <c r="G491" s="44">
        <v>2.9189704453216744E-3</v>
      </c>
      <c r="H491" s="57"/>
      <c r="I491" s="4" t="s">
        <v>202</v>
      </c>
      <c r="J491" s="71">
        <f t="shared" ref="J491" si="308">H491*E491</f>
        <v>0</v>
      </c>
      <c r="K491" s="71">
        <v>0</v>
      </c>
      <c r="L491" s="71">
        <f t="shared" ref="L491" si="309">H491*J491</f>
        <v>0</v>
      </c>
      <c r="M491" s="71">
        <f t="shared" ref="M491" si="310">K491+L491</f>
        <v>0</v>
      </c>
      <c r="N491" s="77">
        <f t="shared" ref="N491" si="311">M491/43106674.89</f>
        <v>0</v>
      </c>
      <c r="O491" s="17"/>
    </row>
    <row r="492" spans="1:15" x14ac:dyDescent="0.55000000000000004">
      <c r="A492" s="9"/>
      <c r="B492" s="11" t="s">
        <v>207</v>
      </c>
      <c r="C492" s="4"/>
      <c r="D492" s="12"/>
      <c r="E492" s="6"/>
      <c r="F492" s="16"/>
      <c r="G492" s="44"/>
      <c r="H492" s="57"/>
      <c r="I492" s="4"/>
      <c r="J492" s="71"/>
      <c r="K492" s="14"/>
      <c r="L492" s="71"/>
      <c r="M492" s="71"/>
      <c r="N492" s="77"/>
      <c r="O492" s="17"/>
    </row>
    <row r="493" spans="1:15" x14ac:dyDescent="0.55000000000000004">
      <c r="A493" s="9"/>
      <c r="B493" s="11" t="s">
        <v>208</v>
      </c>
      <c r="C493" s="4"/>
      <c r="D493" s="12"/>
      <c r="E493" s="6"/>
      <c r="F493" s="16"/>
      <c r="G493" s="44"/>
      <c r="H493" s="57"/>
      <c r="I493" s="4"/>
      <c r="J493" s="71"/>
      <c r="K493" s="14"/>
      <c r="L493" s="71"/>
      <c r="M493" s="71"/>
      <c r="N493" s="77"/>
      <c r="O493" s="17"/>
    </row>
    <row r="494" spans="1:15" x14ac:dyDescent="0.55000000000000004">
      <c r="A494" s="9"/>
      <c r="B494" s="11" t="s">
        <v>209</v>
      </c>
      <c r="C494" s="4"/>
      <c r="D494" s="12"/>
      <c r="E494" s="6"/>
      <c r="F494" s="16"/>
      <c r="G494" s="44"/>
      <c r="H494" s="57"/>
      <c r="I494" s="4"/>
      <c r="J494" s="71"/>
      <c r="K494" s="14"/>
      <c r="L494" s="71"/>
      <c r="M494" s="71"/>
      <c r="N494" s="77"/>
      <c r="O494" s="17"/>
    </row>
    <row r="495" spans="1:15" x14ac:dyDescent="0.55000000000000004">
      <c r="A495" s="9"/>
      <c r="B495" s="11" t="s">
        <v>210</v>
      </c>
      <c r="C495" s="4"/>
      <c r="D495" s="12"/>
      <c r="E495" s="6"/>
      <c r="F495" s="16"/>
      <c r="G495" s="44"/>
      <c r="H495" s="57"/>
      <c r="I495" s="4"/>
      <c r="J495" s="71"/>
      <c r="K495" s="14"/>
      <c r="L495" s="71"/>
      <c r="M495" s="71"/>
      <c r="N495" s="77"/>
      <c r="O495" s="17"/>
    </row>
    <row r="496" spans="1:15" x14ac:dyDescent="0.55000000000000004">
      <c r="A496" s="9"/>
      <c r="B496" s="11"/>
      <c r="C496" s="4"/>
      <c r="D496" s="12"/>
      <c r="E496" s="6"/>
      <c r="F496" s="16"/>
      <c r="G496" s="44"/>
      <c r="H496" s="57"/>
      <c r="I496" s="4"/>
      <c r="J496" s="71"/>
      <c r="K496" s="14"/>
      <c r="L496" s="71"/>
      <c r="M496" s="71"/>
      <c r="N496" s="77"/>
      <c r="O496" s="17"/>
    </row>
    <row r="497" spans="1:15" x14ac:dyDescent="0.55000000000000004">
      <c r="A497" s="9"/>
      <c r="B497" s="11" t="s">
        <v>211</v>
      </c>
      <c r="C497" s="4" t="s">
        <v>202</v>
      </c>
      <c r="D497" s="12">
        <v>1</v>
      </c>
      <c r="E497" s="6">
        <v>135268.13</v>
      </c>
      <c r="F497" s="16">
        <f t="shared" si="295"/>
        <v>135268.13</v>
      </c>
      <c r="G497" s="44">
        <v>3.1379857143975587E-3</v>
      </c>
      <c r="H497" s="57"/>
      <c r="I497" s="4" t="s">
        <v>202</v>
      </c>
      <c r="J497" s="71">
        <f t="shared" ref="J497" si="312">H497*E497</f>
        <v>0</v>
      </c>
      <c r="K497" s="71">
        <v>0</v>
      </c>
      <c r="L497" s="71">
        <f t="shared" ref="L497" si="313">H497*J497</f>
        <v>0</v>
      </c>
      <c r="M497" s="71">
        <f t="shared" ref="M497" si="314">K497+L497</f>
        <v>0</v>
      </c>
      <c r="N497" s="77">
        <f t="shared" ref="N497" si="315">M497/43106674.89</f>
        <v>0</v>
      </c>
      <c r="O497" s="17"/>
    </row>
    <row r="498" spans="1:15" x14ac:dyDescent="0.55000000000000004">
      <c r="A498" s="9"/>
      <c r="B498" s="11" t="s">
        <v>207</v>
      </c>
      <c r="C498" s="4"/>
      <c r="D498" s="12"/>
      <c r="E498" s="6"/>
      <c r="F498" s="16"/>
      <c r="G498" s="44"/>
      <c r="H498" s="57"/>
      <c r="I498" s="4"/>
      <c r="J498" s="71"/>
      <c r="K498" s="14"/>
      <c r="L498" s="71"/>
      <c r="M498" s="71"/>
      <c r="N498" s="77"/>
      <c r="O498" s="17"/>
    </row>
    <row r="499" spans="1:15" x14ac:dyDescent="0.55000000000000004">
      <c r="A499" s="9"/>
      <c r="B499" s="11" t="s">
        <v>212</v>
      </c>
      <c r="C499" s="4"/>
      <c r="D499" s="12"/>
      <c r="E499" s="6"/>
      <c r="F499" s="16"/>
      <c r="G499" s="44"/>
      <c r="H499" s="57"/>
      <c r="I499" s="4"/>
      <c r="J499" s="71"/>
      <c r="K499" s="14"/>
      <c r="L499" s="71"/>
      <c r="M499" s="71"/>
      <c r="N499" s="77"/>
      <c r="O499" s="17"/>
    </row>
    <row r="500" spans="1:15" x14ac:dyDescent="0.55000000000000004">
      <c r="A500" s="9"/>
      <c r="B500" s="11" t="s">
        <v>213</v>
      </c>
      <c r="C500" s="4"/>
      <c r="D500" s="12"/>
      <c r="E500" s="6"/>
      <c r="F500" s="16"/>
      <c r="G500" s="44"/>
      <c r="H500" s="57"/>
      <c r="I500" s="4"/>
      <c r="J500" s="71"/>
      <c r="K500" s="14"/>
      <c r="L500" s="71"/>
      <c r="M500" s="71"/>
      <c r="N500" s="77"/>
      <c r="O500" s="17"/>
    </row>
    <row r="501" spans="1:15" x14ac:dyDescent="0.55000000000000004">
      <c r="A501" s="9"/>
      <c r="B501" s="11" t="s">
        <v>214</v>
      </c>
      <c r="C501" s="4"/>
      <c r="D501" s="12"/>
      <c r="E501" s="6"/>
      <c r="F501" s="16"/>
      <c r="G501" s="44"/>
      <c r="H501" s="57"/>
      <c r="I501" s="4"/>
      <c r="J501" s="71"/>
      <c r="K501" s="14"/>
      <c r="L501" s="71"/>
      <c r="M501" s="71"/>
      <c r="N501" s="77"/>
      <c r="O501" s="17"/>
    </row>
    <row r="502" spans="1:15" x14ac:dyDescent="0.55000000000000004">
      <c r="A502" s="9"/>
      <c r="B502" s="11"/>
      <c r="C502" s="4"/>
      <c r="D502" s="12"/>
      <c r="E502" s="6"/>
      <c r="F502" s="16"/>
      <c r="G502" s="44"/>
      <c r="H502" s="57"/>
      <c r="I502" s="4"/>
      <c r="J502" s="71"/>
      <c r="K502" s="14"/>
      <c r="L502" s="71"/>
      <c r="M502" s="71"/>
      <c r="N502" s="77"/>
      <c r="O502" s="17"/>
    </row>
    <row r="503" spans="1:15" x14ac:dyDescent="0.55000000000000004">
      <c r="A503" s="9"/>
      <c r="B503" s="11" t="s">
        <v>215</v>
      </c>
      <c r="C503" s="4" t="s">
        <v>202</v>
      </c>
      <c r="D503" s="12">
        <v>1</v>
      </c>
      <c r="E503" s="6">
        <v>120190.81999999999</v>
      </c>
      <c r="F503" s="16">
        <f t="shared" si="295"/>
        <v>120190.81999999999</v>
      </c>
      <c r="G503" s="44">
        <v>2.7882183050932127E-3</v>
      </c>
      <c r="H503" s="57"/>
      <c r="I503" s="4" t="s">
        <v>202</v>
      </c>
      <c r="J503" s="71">
        <f t="shared" ref="J503" si="316">H503*E503</f>
        <v>0</v>
      </c>
      <c r="K503" s="71">
        <v>0</v>
      </c>
      <c r="L503" s="71">
        <f t="shared" ref="L503" si="317">H503*J503</f>
        <v>0</v>
      </c>
      <c r="M503" s="71">
        <f t="shared" ref="M503" si="318">K503+L503</f>
        <v>0</v>
      </c>
      <c r="N503" s="77">
        <f t="shared" ref="N503" si="319">M503/43106674.89</f>
        <v>0</v>
      </c>
      <c r="O503" s="17"/>
    </row>
    <row r="504" spans="1:15" x14ac:dyDescent="0.55000000000000004">
      <c r="A504" s="9"/>
      <c r="B504" s="11" t="s">
        <v>207</v>
      </c>
      <c r="C504" s="4"/>
      <c r="D504" s="12"/>
      <c r="E504" s="6"/>
      <c r="F504" s="16"/>
      <c r="G504" s="44"/>
      <c r="H504" s="57"/>
      <c r="I504" s="4"/>
      <c r="J504" s="71"/>
      <c r="K504" s="14"/>
      <c r="L504" s="71"/>
      <c r="M504" s="71"/>
      <c r="N504" s="77"/>
      <c r="O504" s="17"/>
    </row>
    <row r="505" spans="1:15" x14ac:dyDescent="0.55000000000000004">
      <c r="A505" s="9"/>
      <c r="B505" s="11" t="s">
        <v>208</v>
      </c>
      <c r="C505" s="4"/>
      <c r="D505" s="12"/>
      <c r="E505" s="6"/>
      <c r="F505" s="16"/>
      <c r="G505" s="44"/>
      <c r="H505" s="57"/>
      <c r="I505" s="4"/>
      <c r="J505" s="71"/>
      <c r="K505" s="14"/>
      <c r="L505" s="71"/>
      <c r="M505" s="71"/>
      <c r="N505" s="77"/>
      <c r="O505" s="17"/>
    </row>
    <row r="506" spans="1:15" x14ac:dyDescent="0.55000000000000004">
      <c r="A506" s="9"/>
      <c r="B506" s="11" t="s">
        <v>216</v>
      </c>
      <c r="C506" s="4"/>
      <c r="D506" s="12"/>
      <c r="E506" s="6"/>
      <c r="F506" s="16"/>
      <c r="G506" s="44"/>
      <c r="H506" s="57"/>
      <c r="I506" s="4"/>
      <c r="J506" s="71"/>
      <c r="K506" s="14"/>
      <c r="L506" s="71"/>
      <c r="M506" s="71"/>
      <c r="N506" s="77"/>
      <c r="O506" s="17"/>
    </row>
    <row r="507" spans="1:15" x14ac:dyDescent="0.55000000000000004">
      <c r="A507" s="9"/>
      <c r="B507" s="11" t="s">
        <v>217</v>
      </c>
      <c r="C507" s="4"/>
      <c r="D507" s="12"/>
      <c r="E507" s="6"/>
      <c r="F507" s="16"/>
      <c r="G507" s="44"/>
      <c r="H507" s="57"/>
      <c r="I507" s="4"/>
      <c r="J507" s="71"/>
      <c r="K507" s="14"/>
      <c r="L507" s="71"/>
      <c r="M507" s="71"/>
      <c r="N507" s="77"/>
      <c r="O507" s="17"/>
    </row>
    <row r="508" spans="1:15" x14ac:dyDescent="0.55000000000000004">
      <c r="A508" s="9"/>
      <c r="B508" s="11"/>
      <c r="C508" s="4"/>
      <c r="D508" s="12"/>
      <c r="E508" s="6"/>
      <c r="F508" s="16"/>
      <c r="G508" s="44"/>
      <c r="H508" s="57"/>
      <c r="I508" s="4"/>
      <c r="J508" s="71"/>
      <c r="K508" s="14"/>
      <c r="L508" s="71"/>
      <c r="M508" s="71"/>
      <c r="N508" s="77"/>
      <c r="O508" s="17"/>
    </row>
    <row r="509" spans="1:15" x14ac:dyDescent="0.55000000000000004">
      <c r="A509" s="9"/>
      <c r="B509" s="11" t="s">
        <v>218</v>
      </c>
      <c r="C509" s="4" t="s">
        <v>202</v>
      </c>
      <c r="D509" s="12">
        <v>1</v>
      </c>
      <c r="E509" s="6">
        <v>131472.25</v>
      </c>
      <c r="F509" s="16">
        <f t="shared" si="295"/>
        <v>131472.25</v>
      </c>
      <c r="G509" s="44">
        <v>3.0499278901815561E-3</v>
      </c>
      <c r="H509" s="57"/>
      <c r="I509" s="4" t="s">
        <v>202</v>
      </c>
      <c r="J509" s="71">
        <f t="shared" ref="J509" si="320">H509*E509</f>
        <v>0</v>
      </c>
      <c r="K509" s="71">
        <v>0</v>
      </c>
      <c r="L509" s="71">
        <f t="shared" ref="L509" si="321">H509*J509</f>
        <v>0</v>
      </c>
      <c r="M509" s="71">
        <f t="shared" ref="M509" si="322">K509+L509</f>
        <v>0</v>
      </c>
      <c r="N509" s="77">
        <f t="shared" ref="N509" si="323">M509/43106674.89</f>
        <v>0</v>
      </c>
      <c r="O509" s="17"/>
    </row>
    <row r="510" spans="1:15" x14ac:dyDescent="0.55000000000000004">
      <c r="A510" s="9"/>
      <c r="B510" s="11" t="s">
        <v>207</v>
      </c>
      <c r="C510" s="4"/>
      <c r="D510" s="12"/>
      <c r="E510" s="6"/>
      <c r="F510" s="16"/>
      <c r="G510" s="44"/>
      <c r="H510" s="57"/>
      <c r="I510" s="4"/>
      <c r="J510" s="71"/>
      <c r="K510" s="14"/>
      <c r="L510" s="71"/>
      <c r="M510" s="71"/>
      <c r="N510" s="77"/>
      <c r="O510" s="17"/>
    </row>
    <row r="511" spans="1:15" x14ac:dyDescent="0.55000000000000004">
      <c r="A511" s="9"/>
      <c r="B511" s="11" t="s">
        <v>219</v>
      </c>
      <c r="C511" s="4"/>
      <c r="D511" s="12"/>
      <c r="E511" s="6"/>
      <c r="F511" s="16"/>
      <c r="G511" s="44"/>
      <c r="H511" s="57"/>
      <c r="I511" s="4"/>
      <c r="J511" s="71"/>
      <c r="K511" s="14"/>
      <c r="L511" s="71"/>
      <c r="M511" s="71"/>
      <c r="N511" s="77"/>
      <c r="O511" s="17"/>
    </row>
    <row r="512" spans="1:15" x14ac:dyDescent="0.55000000000000004">
      <c r="A512" s="9"/>
      <c r="B512" s="11" t="s">
        <v>220</v>
      </c>
      <c r="C512" s="4"/>
      <c r="D512" s="12"/>
      <c r="E512" s="6"/>
      <c r="F512" s="16"/>
      <c r="G512" s="44"/>
      <c r="H512" s="57"/>
      <c r="I512" s="4"/>
      <c r="J512" s="71"/>
      <c r="K512" s="14"/>
      <c r="L512" s="71"/>
      <c r="M512" s="71"/>
      <c r="N512" s="77"/>
      <c r="O512" s="17"/>
    </row>
    <row r="513" spans="1:15" x14ac:dyDescent="0.55000000000000004">
      <c r="A513" s="9"/>
      <c r="B513" s="11" t="s">
        <v>221</v>
      </c>
      <c r="C513" s="4"/>
      <c r="D513" s="12"/>
      <c r="E513" s="6"/>
      <c r="F513" s="16"/>
      <c r="G513" s="44"/>
      <c r="H513" s="57"/>
      <c r="I513" s="4"/>
      <c r="J513" s="71"/>
      <c r="K513" s="14"/>
      <c r="L513" s="71"/>
      <c r="M513" s="71"/>
      <c r="N513" s="77"/>
      <c r="O513" s="17"/>
    </row>
    <row r="514" spans="1:15" x14ac:dyDescent="0.55000000000000004">
      <c r="A514" s="9"/>
      <c r="B514" s="11"/>
      <c r="C514" s="4"/>
      <c r="D514" s="12"/>
      <c r="E514" s="6"/>
      <c r="F514" s="16"/>
      <c r="G514" s="44"/>
      <c r="H514" s="57"/>
      <c r="I514" s="4"/>
      <c r="J514" s="71"/>
      <c r="K514" s="14"/>
      <c r="L514" s="71"/>
      <c r="M514" s="71"/>
      <c r="N514" s="77"/>
      <c r="O514" s="17"/>
    </row>
    <row r="515" spans="1:15" x14ac:dyDescent="0.55000000000000004">
      <c r="A515" s="9"/>
      <c r="B515" s="11" t="s">
        <v>222</v>
      </c>
      <c r="C515" s="4" t="s">
        <v>202</v>
      </c>
      <c r="D515" s="12">
        <v>1</v>
      </c>
      <c r="E515" s="6">
        <v>473575.57</v>
      </c>
      <c r="F515" s="16">
        <f t="shared" si="295"/>
        <v>473575.57</v>
      </c>
      <c r="G515" s="44">
        <v>1.0986130830282647E-2</v>
      </c>
      <c r="H515" s="57"/>
      <c r="I515" s="4" t="s">
        <v>202</v>
      </c>
      <c r="J515" s="71">
        <f t="shared" ref="J515" si="324">H515*E515</f>
        <v>0</v>
      </c>
      <c r="K515" s="71">
        <v>0</v>
      </c>
      <c r="L515" s="71">
        <f t="shared" ref="L515" si="325">H515*J515</f>
        <v>0</v>
      </c>
      <c r="M515" s="71">
        <f t="shared" ref="M515" si="326">K515+L515</f>
        <v>0</v>
      </c>
      <c r="N515" s="77">
        <f t="shared" ref="N515" si="327">M515/43106674.89</f>
        <v>0</v>
      </c>
      <c r="O515" s="17"/>
    </row>
    <row r="516" spans="1:15" x14ac:dyDescent="0.55000000000000004">
      <c r="A516" s="9"/>
      <c r="B516" s="11" t="s">
        <v>223</v>
      </c>
      <c r="C516" s="4"/>
      <c r="D516" s="12"/>
      <c r="E516" s="6"/>
      <c r="F516" s="16"/>
      <c r="G516" s="44"/>
      <c r="H516" s="57"/>
      <c r="I516" s="4"/>
      <c r="J516" s="71"/>
      <c r="K516" s="14"/>
      <c r="L516" s="71"/>
      <c r="M516" s="71"/>
      <c r="N516" s="77"/>
      <c r="O516" s="17"/>
    </row>
    <row r="517" spans="1:15" x14ac:dyDescent="0.55000000000000004">
      <c r="A517" s="9"/>
      <c r="B517" s="11" t="s">
        <v>224</v>
      </c>
      <c r="C517" s="4"/>
      <c r="D517" s="12"/>
      <c r="E517" s="6"/>
      <c r="F517" s="16"/>
      <c r="G517" s="44"/>
      <c r="H517" s="57"/>
      <c r="I517" s="4"/>
      <c r="J517" s="71"/>
      <c r="K517" s="14"/>
      <c r="L517" s="71"/>
      <c r="M517" s="71"/>
      <c r="N517" s="77"/>
      <c r="O517" s="17"/>
    </row>
    <row r="518" spans="1:15" x14ac:dyDescent="0.55000000000000004">
      <c r="A518" s="9"/>
      <c r="B518" s="11"/>
      <c r="C518" s="4"/>
      <c r="D518" s="12"/>
      <c r="E518" s="6"/>
      <c r="F518" s="16"/>
      <c r="G518" s="44"/>
      <c r="H518" s="57"/>
      <c r="I518" s="4"/>
      <c r="J518" s="71"/>
      <c r="K518" s="14"/>
      <c r="L518" s="71"/>
      <c r="M518" s="71"/>
      <c r="N518" s="77"/>
      <c r="O518" s="17"/>
    </row>
    <row r="519" spans="1:15" x14ac:dyDescent="0.55000000000000004">
      <c r="A519" s="9"/>
      <c r="B519" s="11" t="s">
        <v>225</v>
      </c>
      <c r="C519" s="4" t="s">
        <v>202</v>
      </c>
      <c r="D519" s="12">
        <v>1</v>
      </c>
      <c r="E519" s="6">
        <v>932598.82000000007</v>
      </c>
      <c r="F519" s="16">
        <f t="shared" si="295"/>
        <v>932598.82000000007</v>
      </c>
      <c r="G519" s="44">
        <v>2.1634673107582846E-2</v>
      </c>
      <c r="H519" s="57"/>
      <c r="I519" s="4" t="s">
        <v>202</v>
      </c>
      <c r="J519" s="71">
        <f t="shared" ref="J519" si="328">H519*E519</f>
        <v>0</v>
      </c>
      <c r="K519" s="71">
        <v>0</v>
      </c>
      <c r="L519" s="71">
        <f t="shared" ref="L519" si="329">H519*J519</f>
        <v>0</v>
      </c>
      <c r="M519" s="71">
        <f t="shared" ref="M519" si="330">K519+L519</f>
        <v>0</v>
      </c>
      <c r="N519" s="77">
        <f t="shared" ref="N519" si="331">M519/43106674.89</f>
        <v>0</v>
      </c>
      <c r="O519" s="17"/>
    </row>
    <row r="520" spans="1:15" ht="56.4" x14ac:dyDescent="0.55000000000000004">
      <c r="A520" s="9"/>
      <c r="B520" s="11" t="s">
        <v>226</v>
      </c>
      <c r="C520" s="4"/>
      <c r="D520" s="12"/>
      <c r="E520" s="6"/>
      <c r="F520" s="16"/>
      <c r="G520" s="44"/>
      <c r="H520" s="57"/>
      <c r="I520" s="4"/>
      <c r="J520" s="71"/>
      <c r="K520" s="14"/>
      <c r="L520" s="71"/>
      <c r="M520" s="71"/>
      <c r="N520" s="77"/>
      <c r="O520" s="17"/>
    </row>
    <row r="521" spans="1:15" x14ac:dyDescent="0.55000000000000004">
      <c r="A521" s="9"/>
      <c r="B521" s="11"/>
      <c r="C521" s="4"/>
      <c r="D521" s="12"/>
      <c r="E521" s="6"/>
      <c r="F521" s="16"/>
      <c r="G521" s="44"/>
      <c r="H521" s="57"/>
      <c r="I521" s="4"/>
      <c r="J521" s="71"/>
      <c r="K521" s="14"/>
      <c r="L521" s="71"/>
      <c r="M521" s="71"/>
      <c r="N521" s="77"/>
      <c r="O521" s="17"/>
    </row>
    <row r="522" spans="1:15" x14ac:dyDescent="0.55000000000000004">
      <c r="A522" s="9"/>
      <c r="B522" s="11" t="s">
        <v>227</v>
      </c>
      <c r="C522" s="4" t="s">
        <v>228</v>
      </c>
      <c r="D522" s="12">
        <v>1</v>
      </c>
      <c r="E522" s="6">
        <v>302047.59000000003</v>
      </c>
      <c r="F522" s="16">
        <f t="shared" si="295"/>
        <v>302047.59000000003</v>
      </c>
      <c r="G522" s="44">
        <v>7.0069795633916944E-3</v>
      </c>
      <c r="H522" s="57"/>
      <c r="I522" s="4" t="s">
        <v>228</v>
      </c>
      <c r="J522" s="71">
        <f t="shared" ref="J522" si="332">H522*E522</f>
        <v>0</v>
      </c>
      <c r="K522" s="71">
        <v>0</v>
      </c>
      <c r="L522" s="71">
        <f t="shared" ref="L522" si="333">H522*J522</f>
        <v>0</v>
      </c>
      <c r="M522" s="71">
        <f t="shared" ref="M522" si="334">K522+L522</f>
        <v>0</v>
      </c>
      <c r="N522" s="77">
        <f t="shared" ref="N522" si="335">M522/43106674.89</f>
        <v>0</v>
      </c>
      <c r="O522" s="17"/>
    </row>
    <row r="523" spans="1:15" x14ac:dyDescent="0.55000000000000004">
      <c r="A523" s="9"/>
      <c r="B523" s="11"/>
      <c r="C523" s="4"/>
      <c r="D523" s="12"/>
      <c r="E523" s="6"/>
      <c r="F523" s="16"/>
      <c r="G523" s="44"/>
      <c r="H523" s="57"/>
      <c r="I523" s="4"/>
      <c r="J523" s="71"/>
      <c r="K523" s="14"/>
      <c r="L523" s="71"/>
      <c r="M523" s="71"/>
      <c r="N523" s="77"/>
      <c r="O523" s="17"/>
    </row>
    <row r="524" spans="1:15" x14ac:dyDescent="0.55000000000000004">
      <c r="A524" s="9"/>
      <c r="B524" s="11" t="s">
        <v>229</v>
      </c>
      <c r="C524" s="4" t="s">
        <v>228</v>
      </c>
      <c r="D524" s="12">
        <v>5</v>
      </c>
      <c r="E524" s="6">
        <v>5538.24</v>
      </c>
      <c r="F524" s="16">
        <f t="shared" si="295"/>
        <v>27691.199999999997</v>
      </c>
      <c r="G524" s="44">
        <v>6.4238775249222165E-4</v>
      </c>
      <c r="H524" s="57"/>
      <c r="I524" s="4" t="s">
        <v>228</v>
      </c>
      <c r="J524" s="71">
        <f t="shared" ref="J524" si="336">H524*E524</f>
        <v>0</v>
      </c>
      <c r="K524" s="71">
        <v>0</v>
      </c>
      <c r="L524" s="71">
        <f t="shared" ref="L524:L525" si="337">H524*J524</f>
        <v>0</v>
      </c>
      <c r="M524" s="71">
        <f t="shared" ref="M524:M525" si="338">K524+L524</f>
        <v>0</v>
      </c>
      <c r="N524" s="77">
        <f t="shared" ref="N524:N525" si="339">M524/43106674.89</f>
        <v>0</v>
      </c>
      <c r="O524" s="17"/>
    </row>
    <row r="525" spans="1:15" x14ac:dyDescent="0.55000000000000004">
      <c r="A525" s="9"/>
      <c r="B525" s="11" t="s">
        <v>230</v>
      </c>
      <c r="C525" s="4" t="s">
        <v>5</v>
      </c>
      <c r="D525" s="12">
        <v>1</v>
      </c>
      <c r="E525" s="6">
        <v>32074.68</v>
      </c>
      <c r="F525" s="16">
        <f t="shared" si="295"/>
        <v>32074.68</v>
      </c>
      <c r="G525" s="44">
        <v>7.4407687630392383E-4</v>
      </c>
      <c r="H525" s="57"/>
      <c r="I525" s="4" t="s">
        <v>5</v>
      </c>
      <c r="J525" s="71"/>
      <c r="K525" s="71">
        <v>0</v>
      </c>
      <c r="L525" s="71">
        <f t="shared" si="337"/>
        <v>0</v>
      </c>
      <c r="M525" s="71">
        <f t="shared" si="338"/>
        <v>0</v>
      </c>
      <c r="N525" s="77">
        <f t="shared" si="339"/>
        <v>0</v>
      </c>
      <c r="O525" s="17"/>
    </row>
    <row r="526" spans="1:15" x14ac:dyDescent="0.55000000000000004">
      <c r="A526" s="9"/>
      <c r="B526" s="11"/>
      <c r="C526" s="4"/>
      <c r="D526" s="12"/>
      <c r="E526" s="6"/>
      <c r="F526" s="16"/>
      <c r="G526" s="44"/>
      <c r="H526" s="57"/>
      <c r="I526" s="4"/>
      <c r="J526" s="71"/>
      <c r="K526" s="14"/>
      <c r="L526" s="71"/>
      <c r="M526" s="71"/>
      <c r="N526" s="77"/>
      <c r="O526" s="17"/>
    </row>
    <row r="527" spans="1:15" x14ac:dyDescent="0.55000000000000004">
      <c r="A527" s="9" t="s">
        <v>231</v>
      </c>
      <c r="B527" s="11" t="s">
        <v>232</v>
      </c>
      <c r="C527" s="4"/>
      <c r="D527" s="12"/>
      <c r="E527" s="6"/>
      <c r="F527" s="16"/>
      <c r="G527" s="44"/>
      <c r="H527" s="57"/>
      <c r="I527" s="4"/>
      <c r="J527" s="71"/>
      <c r="K527" s="14"/>
      <c r="L527" s="71"/>
      <c r="M527" s="71"/>
      <c r="N527" s="77"/>
      <c r="O527" s="17"/>
    </row>
    <row r="528" spans="1:15" x14ac:dyDescent="0.55000000000000004">
      <c r="A528" s="9"/>
      <c r="B528" s="11" t="s">
        <v>233</v>
      </c>
      <c r="C528" s="4"/>
      <c r="D528" s="12"/>
      <c r="E528" s="6"/>
      <c r="F528" s="16"/>
      <c r="G528" s="44"/>
      <c r="H528" s="57"/>
      <c r="I528" s="4"/>
      <c r="J528" s="71"/>
      <c r="K528" s="14"/>
      <c r="L528" s="71"/>
      <c r="M528" s="71"/>
      <c r="N528" s="77"/>
      <c r="O528" s="17"/>
    </row>
    <row r="529" spans="1:15" x14ac:dyDescent="0.55000000000000004">
      <c r="A529" s="9"/>
      <c r="B529" s="11" t="s">
        <v>234</v>
      </c>
      <c r="C529" s="4" t="s">
        <v>228</v>
      </c>
      <c r="D529" s="12">
        <v>4</v>
      </c>
      <c r="E529" s="6">
        <v>29019.109999999993</v>
      </c>
      <c r="F529" s="16">
        <f t="shared" si="295"/>
        <v>116076.43999999997</v>
      </c>
      <c r="G529" s="44">
        <v>2.692771833972461E-3</v>
      </c>
      <c r="H529" s="57"/>
      <c r="I529" s="4" t="s">
        <v>228</v>
      </c>
      <c r="J529" s="71">
        <f t="shared" ref="J529:J532" si="340">H529*E529</f>
        <v>0</v>
      </c>
      <c r="K529" s="71">
        <v>0</v>
      </c>
      <c r="L529" s="71">
        <f t="shared" ref="L529:L532" si="341">H529*J529</f>
        <v>0</v>
      </c>
      <c r="M529" s="71">
        <f t="shared" ref="M529:M532" si="342">K529+L529</f>
        <v>0</v>
      </c>
      <c r="N529" s="77">
        <f t="shared" ref="N529:N532" si="343">M529/43106674.89</f>
        <v>0</v>
      </c>
      <c r="O529" s="17"/>
    </row>
    <row r="530" spans="1:15" x14ac:dyDescent="0.55000000000000004">
      <c r="A530" s="9"/>
      <c r="B530" s="11" t="s">
        <v>235</v>
      </c>
      <c r="C530" s="4" t="s">
        <v>228</v>
      </c>
      <c r="D530" s="12">
        <v>7</v>
      </c>
      <c r="E530" s="6">
        <v>11083.84</v>
      </c>
      <c r="F530" s="16">
        <f t="shared" si="295"/>
        <v>77586.880000000005</v>
      </c>
      <c r="G530" s="44">
        <v>1.7998808815105057E-3</v>
      </c>
      <c r="H530" s="57"/>
      <c r="I530" s="4" t="s">
        <v>228</v>
      </c>
      <c r="J530" s="71">
        <f t="shared" si="340"/>
        <v>0</v>
      </c>
      <c r="K530" s="71">
        <v>0</v>
      </c>
      <c r="L530" s="71">
        <f t="shared" si="341"/>
        <v>0</v>
      </c>
      <c r="M530" s="71">
        <f t="shared" si="342"/>
        <v>0</v>
      </c>
      <c r="N530" s="77">
        <f t="shared" si="343"/>
        <v>0</v>
      </c>
      <c r="O530" s="17"/>
    </row>
    <row r="531" spans="1:15" x14ac:dyDescent="0.55000000000000004">
      <c r="A531" s="9"/>
      <c r="B531" s="11" t="s">
        <v>236</v>
      </c>
      <c r="C531" s="4" t="s">
        <v>228</v>
      </c>
      <c r="D531" s="12">
        <v>16</v>
      </c>
      <c r="E531" s="6">
        <v>9429.2200000000012</v>
      </c>
      <c r="F531" s="16">
        <f t="shared" si="295"/>
        <v>150867.52000000002</v>
      </c>
      <c r="G531" s="44">
        <v>3.4998644730771986E-3</v>
      </c>
      <c r="H531" s="57"/>
      <c r="I531" s="4" t="s">
        <v>228</v>
      </c>
      <c r="J531" s="71">
        <f t="shared" si="340"/>
        <v>0</v>
      </c>
      <c r="K531" s="71">
        <v>0</v>
      </c>
      <c r="L531" s="71">
        <f t="shared" si="341"/>
        <v>0</v>
      </c>
      <c r="M531" s="71">
        <f t="shared" si="342"/>
        <v>0</v>
      </c>
      <c r="N531" s="77">
        <f t="shared" si="343"/>
        <v>0</v>
      </c>
      <c r="O531" s="17"/>
    </row>
    <row r="532" spans="1:15" x14ac:dyDescent="0.55000000000000004">
      <c r="A532" s="9"/>
      <c r="B532" s="11" t="s">
        <v>237</v>
      </c>
      <c r="C532" s="4" t="s">
        <v>228</v>
      </c>
      <c r="D532" s="12">
        <v>23</v>
      </c>
      <c r="E532" s="6">
        <v>9429.2199999999993</v>
      </c>
      <c r="F532" s="16">
        <f t="shared" si="295"/>
        <v>216872.06</v>
      </c>
      <c r="G532" s="44">
        <v>5.0310551800484722E-3</v>
      </c>
      <c r="H532" s="57"/>
      <c r="I532" s="4" t="s">
        <v>228</v>
      </c>
      <c r="J532" s="71">
        <f t="shared" si="340"/>
        <v>0</v>
      </c>
      <c r="K532" s="71">
        <v>0</v>
      </c>
      <c r="L532" s="71">
        <f t="shared" si="341"/>
        <v>0</v>
      </c>
      <c r="M532" s="71">
        <f t="shared" si="342"/>
        <v>0</v>
      </c>
      <c r="N532" s="77">
        <f t="shared" si="343"/>
        <v>0</v>
      </c>
      <c r="O532" s="17"/>
    </row>
    <row r="533" spans="1:15" x14ac:dyDescent="0.55000000000000004">
      <c r="A533" s="9"/>
      <c r="B533" s="11" t="s">
        <v>196</v>
      </c>
      <c r="C533" s="4"/>
      <c r="D533" s="12"/>
      <c r="E533" s="6"/>
      <c r="F533" s="16"/>
      <c r="G533" s="44"/>
      <c r="H533" s="57"/>
      <c r="I533" s="4"/>
      <c r="J533" s="71"/>
      <c r="K533" s="14"/>
      <c r="L533" s="71"/>
      <c r="M533" s="71"/>
      <c r="N533" s="77"/>
      <c r="O533" s="17"/>
    </row>
    <row r="534" spans="1:15" x14ac:dyDescent="0.55000000000000004">
      <c r="A534" s="9"/>
      <c r="B534" s="11" t="s">
        <v>198</v>
      </c>
      <c r="C534" s="4" t="s">
        <v>76</v>
      </c>
      <c r="D534" s="12">
        <v>49</v>
      </c>
      <c r="E534" s="6">
        <v>2672.9</v>
      </c>
      <c r="F534" s="16">
        <f t="shared" si="295"/>
        <v>130972.1</v>
      </c>
      <c r="G534" s="44">
        <v>3.0383252787234399E-3</v>
      </c>
      <c r="H534" s="57"/>
      <c r="I534" s="4" t="s">
        <v>76</v>
      </c>
      <c r="J534" s="71">
        <f t="shared" ref="J534:J535" si="344">H534*E534</f>
        <v>0</v>
      </c>
      <c r="K534" s="71">
        <v>0</v>
      </c>
      <c r="L534" s="71">
        <f t="shared" ref="L534:L535" si="345">H534*J534</f>
        <v>0</v>
      </c>
      <c r="M534" s="71">
        <f t="shared" ref="M534:M535" si="346">K534+L534</f>
        <v>0</v>
      </c>
      <c r="N534" s="77">
        <f t="shared" ref="N534:N535" si="347">M534/43106674.89</f>
        <v>0</v>
      </c>
      <c r="O534" s="17"/>
    </row>
    <row r="535" spans="1:15" x14ac:dyDescent="0.55000000000000004">
      <c r="A535" s="9"/>
      <c r="B535" s="11" t="s">
        <v>238</v>
      </c>
      <c r="C535" s="4" t="s">
        <v>76</v>
      </c>
      <c r="D535" s="12">
        <v>1003</v>
      </c>
      <c r="E535" s="6">
        <v>1753.43</v>
      </c>
      <c r="F535" s="16">
        <f t="shared" si="295"/>
        <v>1758690.29</v>
      </c>
      <c r="G535" s="44">
        <v>4.0798560651867516E-2</v>
      </c>
      <c r="H535" s="57"/>
      <c r="I535" s="4" t="s">
        <v>76</v>
      </c>
      <c r="J535" s="71">
        <f t="shared" si="344"/>
        <v>0</v>
      </c>
      <c r="K535" s="71">
        <v>0</v>
      </c>
      <c r="L535" s="71">
        <f t="shared" si="345"/>
        <v>0</v>
      </c>
      <c r="M535" s="71">
        <f t="shared" si="346"/>
        <v>0</v>
      </c>
      <c r="N535" s="77">
        <f t="shared" si="347"/>
        <v>0</v>
      </c>
      <c r="O535" s="17"/>
    </row>
    <row r="536" spans="1:15" x14ac:dyDescent="0.55000000000000004">
      <c r="A536" s="9"/>
      <c r="B536" s="11" t="s">
        <v>239</v>
      </c>
      <c r="C536" s="4"/>
      <c r="D536" s="12"/>
      <c r="E536" s="6"/>
      <c r="F536" s="16"/>
      <c r="G536" s="44"/>
      <c r="H536" s="57"/>
      <c r="I536" s="4"/>
      <c r="J536" s="71"/>
      <c r="K536" s="14"/>
      <c r="L536" s="71"/>
      <c r="M536" s="71"/>
      <c r="N536" s="77"/>
      <c r="O536" s="17"/>
    </row>
    <row r="537" spans="1:15" x14ac:dyDescent="0.55000000000000004">
      <c r="A537" s="9"/>
      <c r="B537" s="11" t="s">
        <v>240</v>
      </c>
      <c r="C537" s="4" t="s">
        <v>88</v>
      </c>
      <c r="D537" s="12">
        <v>195</v>
      </c>
      <c r="E537" s="6">
        <v>125.85</v>
      </c>
      <c r="F537" s="16">
        <f t="shared" si="295"/>
        <v>24540.75</v>
      </c>
      <c r="G537" s="44">
        <v>5.6930278344649165E-4</v>
      </c>
      <c r="H537" s="57"/>
      <c r="I537" s="4" t="s">
        <v>88</v>
      </c>
      <c r="J537" s="71">
        <f t="shared" ref="J537" si="348">H537*E537</f>
        <v>0</v>
      </c>
      <c r="K537" s="71">
        <v>0</v>
      </c>
      <c r="L537" s="71">
        <f t="shared" ref="L537" si="349">H537*J537</f>
        <v>0</v>
      </c>
      <c r="M537" s="71">
        <f t="shared" ref="M537" si="350">K537+L537</f>
        <v>0</v>
      </c>
      <c r="N537" s="77">
        <f t="shared" ref="N537" si="351">M537/43106674.89</f>
        <v>0</v>
      </c>
      <c r="O537" s="17"/>
    </row>
    <row r="538" spans="1:15" x14ac:dyDescent="0.55000000000000004">
      <c r="A538" s="9"/>
      <c r="B538" s="11" t="s">
        <v>241</v>
      </c>
      <c r="C538" s="4"/>
      <c r="D538" s="12"/>
      <c r="E538" s="6"/>
      <c r="F538" s="16"/>
      <c r="G538" s="44"/>
      <c r="H538" s="57"/>
      <c r="I538" s="4"/>
      <c r="J538" s="71"/>
      <c r="K538" s="14"/>
      <c r="L538" s="71"/>
      <c r="M538" s="71"/>
      <c r="N538" s="77"/>
      <c r="O538" s="17"/>
    </row>
    <row r="539" spans="1:15" x14ac:dyDescent="0.55000000000000004">
      <c r="A539" s="9"/>
      <c r="B539" s="11" t="s">
        <v>242</v>
      </c>
      <c r="C539" s="4" t="s">
        <v>243</v>
      </c>
      <c r="D539" s="12">
        <v>429</v>
      </c>
      <c r="E539" s="6">
        <v>1395.9000000000003</v>
      </c>
      <c r="F539" s="16">
        <f t="shared" ref="F539:F548" si="352">D539*E539</f>
        <v>598841.10000000009</v>
      </c>
      <c r="G539" s="44">
        <v>1.389207359482326E-2</v>
      </c>
      <c r="H539" s="57"/>
      <c r="I539" s="4" t="s">
        <v>243</v>
      </c>
      <c r="J539" s="71">
        <f t="shared" ref="J539:J540" si="353">H539*E539</f>
        <v>0</v>
      </c>
      <c r="K539" s="71">
        <v>0</v>
      </c>
      <c r="L539" s="71">
        <f t="shared" ref="L539:L540" si="354">H539*J539</f>
        <v>0</v>
      </c>
      <c r="M539" s="71">
        <f t="shared" ref="M539:M540" si="355">K539+L539</f>
        <v>0</v>
      </c>
      <c r="N539" s="77">
        <f t="shared" ref="N539:N540" si="356">M539/43106674.89</f>
        <v>0</v>
      </c>
      <c r="O539" s="17"/>
    </row>
    <row r="540" spans="1:15" x14ac:dyDescent="0.55000000000000004">
      <c r="A540" s="9"/>
      <c r="B540" s="11" t="s">
        <v>244</v>
      </c>
      <c r="C540" s="4" t="s">
        <v>243</v>
      </c>
      <c r="D540" s="12">
        <v>6798</v>
      </c>
      <c r="E540" s="6">
        <v>144.13</v>
      </c>
      <c r="F540" s="16">
        <f t="shared" si="352"/>
        <v>979795.74</v>
      </c>
      <c r="G540" s="44">
        <v>2.2729559691167345E-2</v>
      </c>
      <c r="H540" s="57"/>
      <c r="I540" s="4" t="s">
        <v>243</v>
      </c>
      <c r="J540" s="71">
        <f t="shared" si="353"/>
        <v>0</v>
      </c>
      <c r="K540" s="71">
        <v>0</v>
      </c>
      <c r="L540" s="71">
        <f t="shared" si="354"/>
        <v>0</v>
      </c>
      <c r="M540" s="71">
        <f t="shared" si="355"/>
        <v>0</v>
      </c>
      <c r="N540" s="77">
        <f t="shared" si="356"/>
        <v>0</v>
      </c>
      <c r="O540" s="17"/>
    </row>
    <row r="541" spans="1:15" x14ac:dyDescent="0.55000000000000004">
      <c r="A541" s="9"/>
      <c r="B541" s="11" t="s">
        <v>117</v>
      </c>
      <c r="C541" s="4"/>
      <c r="D541" s="12"/>
      <c r="E541" s="6"/>
      <c r="F541" s="16"/>
      <c r="G541" s="44"/>
      <c r="H541" s="57"/>
      <c r="I541" s="4"/>
      <c r="J541" s="71"/>
      <c r="K541" s="14"/>
      <c r="L541" s="71"/>
      <c r="M541" s="71"/>
      <c r="N541" s="77"/>
      <c r="O541" s="17"/>
    </row>
    <row r="542" spans="1:15" x14ac:dyDescent="0.55000000000000004">
      <c r="A542" s="9"/>
      <c r="B542" s="11" t="s">
        <v>195</v>
      </c>
      <c r="C542" s="4" t="s">
        <v>243</v>
      </c>
      <c r="D542" s="12">
        <v>143</v>
      </c>
      <c r="E542" s="6">
        <v>358.86999999999995</v>
      </c>
      <c r="F542" s="16">
        <f t="shared" si="352"/>
        <v>51318.409999999989</v>
      </c>
      <c r="G542" s="44">
        <v>1.1904979943582925E-3</v>
      </c>
      <c r="H542" s="57"/>
      <c r="I542" s="4" t="s">
        <v>243</v>
      </c>
      <c r="J542" s="71">
        <f t="shared" ref="J542:J543" si="357">H542*E542</f>
        <v>0</v>
      </c>
      <c r="K542" s="71">
        <v>0</v>
      </c>
      <c r="L542" s="71">
        <f t="shared" ref="L542:L543" si="358">H542*J542</f>
        <v>0</v>
      </c>
      <c r="M542" s="71">
        <f t="shared" ref="M542:M543" si="359">K542+L542</f>
        <v>0</v>
      </c>
      <c r="N542" s="77">
        <f t="shared" ref="N542:N543" si="360">M542/43106674.89</f>
        <v>0</v>
      </c>
      <c r="O542" s="17"/>
    </row>
    <row r="543" spans="1:15" x14ac:dyDescent="0.55000000000000004">
      <c r="A543" s="9"/>
      <c r="B543" s="11" t="s">
        <v>244</v>
      </c>
      <c r="C543" s="4" t="s">
        <v>243</v>
      </c>
      <c r="D543" s="12">
        <v>3185</v>
      </c>
      <c r="E543" s="6">
        <v>144.13000000000002</v>
      </c>
      <c r="F543" s="16">
        <f t="shared" si="352"/>
        <v>459054.0500000001</v>
      </c>
      <c r="G543" s="44">
        <v>1.0649256783814065E-2</v>
      </c>
      <c r="H543" s="57"/>
      <c r="I543" s="4" t="s">
        <v>243</v>
      </c>
      <c r="J543" s="71">
        <f t="shared" si="357"/>
        <v>0</v>
      </c>
      <c r="K543" s="71">
        <v>0</v>
      </c>
      <c r="L543" s="71">
        <f t="shared" si="358"/>
        <v>0</v>
      </c>
      <c r="M543" s="71">
        <f t="shared" si="359"/>
        <v>0</v>
      </c>
      <c r="N543" s="77">
        <f t="shared" si="360"/>
        <v>0</v>
      </c>
      <c r="O543" s="17"/>
    </row>
    <row r="544" spans="1:15" x14ac:dyDescent="0.55000000000000004">
      <c r="A544" s="9"/>
      <c r="B544" s="11"/>
      <c r="C544" s="4"/>
      <c r="D544" s="12"/>
      <c r="E544" s="6"/>
      <c r="F544" s="16"/>
      <c r="G544" s="44"/>
      <c r="H544" s="57"/>
      <c r="I544" s="4"/>
      <c r="J544" s="71"/>
      <c r="K544" s="14"/>
      <c r="L544" s="71"/>
      <c r="M544" s="71"/>
      <c r="N544" s="77"/>
      <c r="O544" s="17"/>
    </row>
    <row r="545" spans="1:15" x14ac:dyDescent="0.55000000000000004">
      <c r="A545" s="9" t="s">
        <v>245</v>
      </c>
      <c r="B545" s="11" t="s">
        <v>246</v>
      </c>
      <c r="C545" s="4" t="s">
        <v>5</v>
      </c>
      <c r="D545" s="12">
        <v>1</v>
      </c>
      <c r="E545" s="6">
        <v>145441.09</v>
      </c>
      <c r="F545" s="16">
        <f t="shared" si="352"/>
        <v>145441.09</v>
      </c>
      <c r="G545" s="44">
        <v>3.3739807204136675E-3</v>
      </c>
      <c r="H545" s="57">
        <v>1</v>
      </c>
      <c r="I545" s="4" t="s">
        <v>5</v>
      </c>
      <c r="J545" s="71"/>
      <c r="K545" s="71">
        <v>0</v>
      </c>
      <c r="L545" s="71">
        <f t="shared" ref="L545:L548" si="361">H545*J545</f>
        <v>0</v>
      </c>
      <c r="M545" s="71">
        <f t="shared" ref="M545:M548" si="362">K545+L545</f>
        <v>0</v>
      </c>
      <c r="N545" s="77">
        <f t="shared" ref="N545:N548" si="363">M545/43106674.89</f>
        <v>0</v>
      </c>
      <c r="O545" s="17"/>
    </row>
    <row r="546" spans="1:15" x14ac:dyDescent="0.55000000000000004">
      <c r="A546" s="9" t="s">
        <v>247</v>
      </c>
      <c r="B546" s="11" t="s">
        <v>248</v>
      </c>
      <c r="C546" s="4" t="s">
        <v>5</v>
      </c>
      <c r="D546" s="12">
        <v>1</v>
      </c>
      <c r="E546" s="6">
        <v>174529.31</v>
      </c>
      <c r="F546" s="16">
        <f t="shared" si="352"/>
        <v>174529.31</v>
      </c>
      <c r="G546" s="44">
        <v>4.0487769108929275E-3</v>
      </c>
      <c r="H546" s="57">
        <v>1</v>
      </c>
      <c r="I546" s="4" t="s">
        <v>5</v>
      </c>
      <c r="J546" s="71"/>
      <c r="K546" s="71">
        <v>0</v>
      </c>
      <c r="L546" s="71">
        <f t="shared" si="361"/>
        <v>0</v>
      </c>
      <c r="M546" s="71">
        <f t="shared" si="362"/>
        <v>0</v>
      </c>
      <c r="N546" s="77">
        <f t="shared" si="363"/>
        <v>0</v>
      </c>
      <c r="O546" s="17"/>
    </row>
    <row r="547" spans="1:15" x14ac:dyDescent="0.55000000000000004">
      <c r="A547" s="9" t="s">
        <v>249</v>
      </c>
      <c r="B547" s="11" t="s">
        <v>250</v>
      </c>
      <c r="C547" s="4" t="s">
        <v>5</v>
      </c>
      <c r="D547" s="12">
        <v>1</v>
      </c>
      <c r="E547" s="6">
        <v>87264.66</v>
      </c>
      <c r="F547" s="16">
        <f t="shared" si="352"/>
        <v>87264.66</v>
      </c>
      <c r="G547" s="44">
        <v>2.024388571437781E-3</v>
      </c>
      <c r="H547" s="57">
        <v>1</v>
      </c>
      <c r="I547" s="4" t="s">
        <v>5</v>
      </c>
      <c r="J547" s="71"/>
      <c r="K547" s="71">
        <v>0</v>
      </c>
      <c r="L547" s="71">
        <f t="shared" si="361"/>
        <v>0</v>
      </c>
      <c r="M547" s="71">
        <f t="shared" si="362"/>
        <v>0</v>
      </c>
      <c r="N547" s="77">
        <f t="shared" si="363"/>
        <v>0</v>
      </c>
      <c r="O547" s="17"/>
    </row>
    <row r="548" spans="1:15" x14ac:dyDescent="0.55000000000000004">
      <c r="A548" s="9" t="s">
        <v>251</v>
      </c>
      <c r="B548" s="11" t="s">
        <v>252</v>
      </c>
      <c r="C548" s="4" t="s">
        <v>5</v>
      </c>
      <c r="D548" s="12">
        <v>1</v>
      </c>
      <c r="E548" s="6">
        <v>884818.61</v>
      </c>
      <c r="F548" s="16">
        <f t="shared" si="352"/>
        <v>884818.61</v>
      </c>
      <c r="G548" s="44">
        <v>2.0526255208918057E-2</v>
      </c>
      <c r="H548" s="57">
        <v>1</v>
      </c>
      <c r="I548" s="4" t="s">
        <v>5</v>
      </c>
      <c r="J548" s="71"/>
      <c r="K548" s="71">
        <v>0</v>
      </c>
      <c r="L548" s="71">
        <f t="shared" si="361"/>
        <v>0</v>
      </c>
      <c r="M548" s="71">
        <f t="shared" si="362"/>
        <v>0</v>
      </c>
      <c r="N548" s="77">
        <f t="shared" si="363"/>
        <v>0</v>
      </c>
      <c r="O548" s="17"/>
    </row>
    <row r="549" spans="1:15" x14ac:dyDescent="0.55000000000000004">
      <c r="A549" s="14"/>
      <c r="B549" s="15"/>
      <c r="C549" s="14"/>
      <c r="D549" s="14"/>
      <c r="E549" s="6"/>
      <c r="F549" s="16"/>
      <c r="G549" s="43"/>
      <c r="H549" s="60"/>
      <c r="I549" s="59"/>
      <c r="J549" s="58"/>
      <c r="K549" s="59"/>
      <c r="L549" s="71"/>
      <c r="M549" s="71"/>
      <c r="N549" s="77"/>
      <c r="O549" s="17"/>
    </row>
    <row r="550" spans="1:15" x14ac:dyDescent="0.55000000000000004">
      <c r="A550" s="35"/>
      <c r="B550" s="35"/>
      <c r="C550" s="36"/>
      <c r="D550" s="36"/>
      <c r="E550" s="13"/>
      <c r="F550" s="37"/>
      <c r="G550" s="45"/>
      <c r="H550" s="61"/>
      <c r="I550" s="62"/>
      <c r="J550" s="63"/>
      <c r="K550" s="62"/>
      <c r="L550" s="72"/>
      <c r="M550" s="72"/>
      <c r="N550" s="77"/>
      <c r="O550" s="17"/>
    </row>
    <row r="551" spans="1:15" x14ac:dyDescent="0.55000000000000004">
      <c r="A551" s="15"/>
      <c r="B551" s="15" t="s">
        <v>253</v>
      </c>
      <c r="C551" s="15"/>
      <c r="D551" s="38"/>
      <c r="E551" s="39"/>
      <c r="F551" s="40">
        <f>SUM(F26:F550)</f>
        <v>43106674.890000015</v>
      </c>
      <c r="G551" s="46">
        <f>SUM(G26:G550)</f>
        <v>0.99999999999999978</v>
      </c>
      <c r="H551" s="64"/>
      <c r="I551" s="65"/>
      <c r="J551" s="66">
        <f t="shared" ref="J551:N551" si="364">SUM(J26:J550)</f>
        <v>0</v>
      </c>
      <c r="K551" s="64">
        <f t="shared" si="364"/>
        <v>0</v>
      </c>
      <c r="L551" s="73">
        <f t="shared" si="364"/>
        <v>0</v>
      </c>
      <c r="M551" s="73">
        <f t="shared" si="364"/>
        <v>0</v>
      </c>
      <c r="N551" s="78">
        <f t="shared" si="364"/>
        <v>0</v>
      </c>
      <c r="O551" s="17"/>
    </row>
    <row r="552" spans="1:15" ht="19.8" x14ac:dyDescent="0.55000000000000004">
      <c r="A552" s="17"/>
      <c r="B552" s="17"/>
      <c r="C552" s="17"/>
      <c r="D552" s="17"/>
      <c r="E552" s="41"/>
      <c r="F552" s="42"/>
      <c r="G552" s="47"/>
      <c r="H552" s="50"/>
      <c r="I552" s="17"/>
      <c r="J552" s="42"/>
      <c r="K552" s="17"/>
      <c r="L552" s="42"/>
      <c r="M552" s="42"/>
      <c r="N552" s="76"/>
      <c r="O552" s="17"/>
    </row>
    <row r="555" spans="1:15" x14ac:dyDescent="0.55000000000000004">
      <c r="B555" s="67" t="s">
        <v>15</v>
      </c>
      <c r="C555" s="56"/>
      <c r="D555" s="67" t="s">
        <v>6</v>
      </c>
      <c r="E555" s="68"/>
      <c r="F555" s="68"/>
      <c r="G555" s="69"/>
      <c r="H555" s="70"/>
      <c r="I555" s="56"/>
      <c r="J555" s="68"/>
      <c r="K555" s="67" t="s">
        <v>7</v>
      </c>
      <c r="L555" s="68"/>
    </row>
    <row r="556" spans="1:15" x14ac:dyDescent="0.55000000000000004">
      <c r="B556" s="56"/>
      <c r="C556" s="56"/>
      <c r="D556" s="56"/>
      <c r="E556" s="68"/>
      <c r="F556" s="68"/>
      <c r="G556" s="69"/>
      <c r="H556" s="70"/>
      <c r="I556" s="56"/>
      <c r="J556" s="68"/>
      <c r="K556" s="56"/>
      <c r="L556" s="68"/>
    </row>
    <row r="557" spans="1:15" x14ac:dyDescent="0.55000000000000004">
      <c r="B557" s="56" t="s">
        <v>8</v>
      </c>
      <c r="C557" s="56"/>
      <c r="D557" s="56" t="s">
        <v>9</v>
      </c>
      <c r="E557" s="68"/>
      <c r="F557" s="68"/>
      <c r="G557" s="69"/>
      <c r="H557" s="70"/>
      <c r="I557" s="56"/>
      <c r="J557" s="68"/>
      <c r="K557" s="56" t="s">
        <v>10</v>
      </c>
      <c r="L557" s="68"/>
    </row>
    <row r="558" spans="1:15" x14ac:dyDescent="0.55000000000000004">
      <c r="B558" s="56"/>
      <c r="C558" s="56"/>
      <c r="D558" s="56"/>
      <c r="E558" s="68"/>
      <c r="F558" s="68"/>
      <c r="G558" s="69"/>
      <c r="H558" s="70"/>
      <c r="I558" s="56"/>
      <c r="J558" s="68"/>
      <c r="K558" s="56"/>
      <c r="L558" s="68"/>
    </row>
    <row r="559" spans="1:15" x14ac:dyDescent="0.55000000000000004">
      <c r="B559" s="56"/>
      <c r="C559" s="56"/>
      <c r="D559" s="56"/>
      <c r="E559" s="68"/>
      <c r="F559" s="68"/>
      <c r="G559" s="69"/>
      <c r="H559" s="70"/>
      <c r="I559" s="56"/>
      <c r="J559" s="68"/>
      <c r="K559" s="56"/>
      <c r="L559" s="68"/>
    </row>
  </sheetData>
  <sheetProtection selectLockedCells="1"/>
  <mergeCells count="9">
    <mergeCell ref="H9:N9"/>
    <mergeCell ref="A8:M8"/>
    <mergeCell ref="C9:G9"/>
    <mergeCell ref="A1:O1"/>
    <mergeCell ref="A2:O2"/>
    <mergeCell ref="A3:O3"/>
    <mergeCell ref="A4:O4"/>
    <mergeCell ref="A5:O5"/>
    <mergeCell ref="A6:O6"/>
  </mergeCells>
  <pageMargins left="0.7" right="0.7" top="0.75" bottom="0.75" header="0.3" footer="0.3"/>
  <pageSetup paperSize="5" scale="78" orientation="landscape" r:id="rId1"/>
  <headerFooter>
    <oddFooter>&amp;L&amp;P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Accomplishment Report</vt:lpstr>
      <vt:lpstr>'Accomplishment Report'!Print_Area</vt:lpstr>
      <vt:lpstr>'Accomplishment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2026-06-08T18:40:39Z</dcterms:modified>
</cp:coreProperties>
</file>