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564C63-8A18-441C-A2B9-3B742E87911F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BOQ_DATA_ENTRY" sheetId="1" r:id="rId1"/>
    <sheet name="Instructions" sheetId="2" r:id="rId2"/>
    <sheet name="App_Field_Map" sheetId="3" r:id="rId3"/>
    <sheet name="Reference_Li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1" i="1" l="1"/>
  <c r="K161" i="1" s="1"/>
  <c r="H160" i="1"/>
  <c r="H159" i="1"/>
  <c r="H158" i="1"/>
  <c r="H157" i="1"/>
  <c r="H156" i="1"/>
  <c r="H155" i="1"/>
  <c r="I154" i="1"/>
  <c r="H154" i="1"/>
  <c r="H153" i="1"/>
  <c r="H152" i="1"/>
  <c r="I152" i="1" s="1"/>
  <c r="H151" i="1"/>
  <c r="H150" i="1"/>
  <c r="J150" i="1" s="1"/>
  <c r="H149" i="1"/>
  <c r="H148" i="1"/>
  <c r="J148" i="1" s="1"/>
  <c r="H147" i="1"/>
  <c r="H146" i="1"/>
  <c r="J146" i="1" s="1"/>
  <c r="H145" i="1"/>
  <c r="H144" i="1"/>
  <c r="J144" i="1" s="1"/>
  <c r="H143" i="1"/>
  <c r="H142" i="1"/>
  <c r="I142" i="1" s="1"/>
  <c r="H141" i="1"/>
  <c r="H140" i="1"/>
  <c r="H139" i="1"/>
  <c r="H138" i="1"/>
  <c r="H137" i="1"/>
  <c r="H136" i="1"/>
  <c r="J136" i="1" s="1"/>
  <c r="H135" i="1"/>
  <c r="H134" i="1"/>
  <c r="I134" i="1" s="1"/>
  <c r="H133" i="1"/>
  <c r="H132" i="1"/>
  <c r="H131" i="1"/>
  <c r="H130" i="1"/>
  <c r="I130" i="1" s="1"/>
  <c r="H129" i="1"/>
  <c r="H128" i="1"/>
  <c r="H127" i="1"/>
  <c r="H126" i="1"/>
  <c r="H125" i="1"/>
  <c r="H124" i="1"/>
  <c r="J124" i="1" s="1"/>
  <c r="H123" i="1"/>
  <c r="H122" i="1"/>
  <c r="H121" i="1"/>
  <c r="H120" i="1"/>
  <c r="I120" i="1" s="1"/>
  <c r="H119" i="1"/>
  <c r="H118" i="1"/>
  <c r="J118" i="1" s="1"/>
  <c r="H117" i="1"/>
  <c r="H116" i="1"/>
  <c r="I116" i="1" s="1"/>
  <c r="H115" i="1"/>
  <c r="H114" i="1"/>
  <c r="J114" i="1" s="1"/>
  <c r="H113" i="1"/>
  <c r="H112" i="1"/>
  <c r="J112" i="1" s="1"/>
  <c r="H111" i="1"/>
  <c r="H110" i="1"/>
  <c r="J110" i="1" s="1"/>
  <c r="H109" i="1"/>
  <c r="H108" i="1"/>
  <c r="J108" i="1" s="1"/>
  <c r="H107" i="1"/>
  <c r="H106" i="1"/>
  <c r="J106" i="1" s="1"/>
  <c r="H105" i="1"/>
  <c r="H104" i="1"/>
  <c r="J104" i="1" s="1"/>
  <c r="H103" i="1"/>
  <c r="H102" i="1"/>
  <c r="J102" i="1" s="1"/>
  <c r="H101" i="1"/>
  <c r="H100" i="1"/>
  <c r="J100" i="1" s="1"/>
  <c r="H99" i="1"/>
  <c r="H98" i="1"/>
  <c r="J98" i="1" s="1"/>
  <c r="H97" i="1"/>
  <c r="H96" i="1"/>
  <c r="J96" i="1" s="1"/>
  <c r="H95" i="1"/>
  <c r="H94" i="1"/>
  <c r="J94" i="1" s="1"/>
  <c r="H93" i="1"/>
  <c r="H92" i="1"/>
  <c r="J92" i="1" s="1"/>
  <c r="H91" i="1"/>
  <c r="H90" i="1"/>
  <c r="J90" i="1" s="1"/>
  <c r="H89" i="1"/>
  <c r="H88" i="1"/>
  <c r="J88" i="1" s="1"/>
  <c r="H87" i="1"/>
  <c r="H86" i="1"/>
  <c r="J86" i="1" s="1"/>
  <c r="H85" i="1"/>
  <c r="H84" i="1"/>
  <c r="J84" i="1" s="1"/>
  <c r="H83" i="1"/>
  <c r="H82" i="1"/>
  <c r="J82" i="1" s="1"/>
  <c r="H81" i="1"/>
  <c r="H80" i="1"/>
  <c r="J80" i="1" s="1"/>
  <c r="H79" i="1"/>
  <c r="H78" i="1"/>
  <c r="J78" i="1" s="1"/>
  <c r="H77" i="1"/>
  <c r="H76" i="1"/>
  <c r="J76" i="1" s="1"/>
  <c r="H75" i="1"/>
  <c r="H74" i="1"/>
  <c r="J74" i="1" s="1"/>
  <c r="H73" i="1"/>
  <c r="H72" i="1"/>
  <c r="J72" i="1" s="1"/>
  <c r="H71" i="1"/>
  <c r="H70" i="1"/>
  <c r="J70" i="1" s="1"/>
  <c r="H69" i="1"/>
  <c r="H68" i="1"/>
  <c r="J68" i="1" s="1"/>
  <c r="H67" i="1"/>
  <c r="H66" i="1"/>
  <c r="J66" i="1" s="1"/>
  <c r="H65" i="1"/>
  <c r="H64" i="1"/>
  <c r="J64" i="1" s="1"/>
  <c r="H63" i="1"/>
  <c r="H62" i="1"/>
  <c r="J62" i="1" s="1"/>
  <c r="H61" i="1"/>
  <c r="H60" i="1"/>
  <c r="J60" i="1" s="1"/>
  <c r="H59" i="1"/>
  <c r="H58" i="1"/>
  <c r="J58" i="1" s="1"/>
  <c r="H57" i="1"/>
  <c r="H56" i="1"/>
  <c r="J56" i="1" s="1"/>
  <c r="H55" i="1"/>
  <c r="H54" i="1"/>
  <c r="J54" i="1" s="1"/>
  <c r="H53" i="1"/>
  <c r="H52" i="1"/>
  <c r="J52" i="1" s="1"/>
  <c r="H51" i="1"/>
  <c r="H50" i="1"/>
  <c r="J50" i="1" s="1"/>
  <c r="H49" i="1"/>
  <c r="H48" i="1"/>
  <c r="J48" i="1" s="1"/>
  <c r="H47" i="1"/>
  <c r="H46" i="1"/>
  <c r="J46" i="1" s="1"/>
  <c r="H45" i="1"/>
  <c r="H44" i="1"/>
  <c r="J44" i="1" s="1"/>
  <c r="H43" i="1"/>
  <c r="H42" i="1"/>
  <c r="J42" i="1" s="1"/>
  <c r="H41" i="1"/>
  <c r="H40" i="1"/>
  <c r="J40" i="1" s="1"/>
  <c r="H39" i="1"/>
  <c r="I39" i="1" s="1"/>
  <c r="H38" i="1"/>
  <c r="H37" i="1"/>
  <c r="I37" i="1" s="1"/>
  <c r="H36" i="1"/>
  <c r="H35" i="1"/>
  <c r="I35" i="1" s="1"/>
  <c r="H34" i="1"/>
  <c r="H33" i="1"/>
  <c r="I33" i="1" s="1"/>
  <c r="H32" i="1"/>
  <c r="H31" i="1"/>
  <c r="I31" i="1" s="1"/>
  <c r="H30" i="1"/>
  <c r="H29" i="1"/>
  <c r="I29" i="1" s="1"/>
  <c r="H28" i="1"/>
  <c r="H27" i="1"/>
  <c r="I27" i="1" s="1"/>
  <c r="H26" i="1"/>
  <c r="H25" i="1"/>
  <c r="I25" i="1" s="1"/>
  <c r="H24" i="1"/>
  <c r="H23" i="1"/>
  <c r="I23" i="1" s="1"/>
  <c r="H22" i="1"/>
  <c r="H21" i="1"/>
  <c r="I21" i="1" s="1"/>
  <c r="H20" i="1"/>
  <c r="H19" i="1"/>
  <c r="I19" i="1" s="1"/>
  <c r="H18" i="1"/>
  <c r="H17" i="1"/>
  <c r="I17" i="1" s="1"/>
  <c r="H16" i="1"/>
  <c r="H15" i="1"/>
  <c r="I15" i="1" s="1"/>
  <c r="H14" i="1"/>
  <c r="I14" i="1" s="1"/>
  <c r="J134" i="1" l="1"/>
  <c r="K134" i="1" s="1"/>
  <c r="L134" i="1" s="1"/>
  <c r="N134" i="1" s="1"/>
  <c r="M134" i="1" s="1"/>
  <c r="J116" i="1"/>
  <c r="I146" i="1"/>
  <c r="I144" i="1"/>
  <c r="J35" i="1"/>
  <c r="J25" i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J17" i="1"/>
  <c r="K17" i="1" s="1"/>
  <c r="L17" i="1" s="1"/>
  <c r="N17" i="1" s="1"/>
  <c r="I44" i="1"/>
  <c r="I56" i="1"/>
  <c r="K116" i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K144" i="1"/>
  <c r="L144" i="1" s="1"/>
  <c r="N144" i="1" s="1"/>
  <c r="M144" i="1" s="1"/>
  <c r="K25" i="1"/>
  <c r="L25" i="1" s="1"/>
  <c r="N25" i="1" s="1"/>
  <c r="I42" i="1"/>
  <c r="K48" i="1"/>
  <c r="L48" i="1" s="1"/>
  <c r="N48" i="1" s="1"/>
  <c r="M48" i="1" s="1"/>
  <c r="L116" i="1"/>
  <c r="N116" i="1" s="1"/>
  <c r="M116" i="1" s="1"/>
  <c r="J120" i="1"/>
  <c r="K120" i="1" s="1"/>
  <c r="I138" i="1"/>
  <c r="J152" i="1"/>
  <c r="I124" i="1"/>
  <c r="J138" i="1"/>
  <c r="I156" i="1"/>
  <c r="J156" i="1"/>
  <c r="J19" i="1"/>
  <c r="K19" i="1" s="1"/>
  <c r="J27" i="1"/>
  <c r="K27" i="1" s="1"/>
  <c r="I128" i="1"/>
  <c r="K128" i="1" s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K56" i="1"/>
  <c r="L56" i="1" s="1"/>
  <c r="N56" i="1" s="1"/>
  <c r="M56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K126" i="1" s="1"/>
  <c r="J158" i="1"/>
  <c r="I58" i="1"/>
  <c r="I68" i="1"/>
  <c r="K68" i="1" s="1"/>
  <c r="I72" i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K72" i="1"/>
  <c r="J43" i="1"/>
  <c r="I43" i="1"/>
  <c r="L15" i="1"/>
  <c r="N15" i="1" s="1"/>
  <c r="L19" i="1"/>
  <c r="N19" i="1" s="1"/>
  <c r="K44" i="1"/>
  <c r="L44" i="1" s="1"/>
  <c r="N44" i="1" s="1"/>
  <c r="M44" i="1" s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K40" i="1" s="1"/>
  <c r="L40" i="1" s="1"/>
  <c r="N40" i="1" s="1"/>
  <c r="J45" i="1"/>
  <c r="I45" i="1"/>
  <c r="K45" i="1" s="1"/>
  <c r="H162" i="1"/>
  <c r="J14" i="1"/>
  <c r="K14" i="1" s="1"/>
  <c r="L14" i="1" s="1"/>
  <c r="N14" i="1" s="1"/>
  <c r="J16" i="1"/>
  <c r="K16" i="1" s="1"/>
  <c r="L16" i="1" s="1"/>
  <c r="N16" i="1" s="1"/>
  <c r="M16" i="1" s="1"/>
  <c r="J18" i="1"/>
  <c r="J20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K38" i="1" s="1"/>
  <c r="K32" i="1"/>
  <c r="L32" i="1"/>
  <c r="N32" i="1" s="1"/>
  <c r="M32" i="1" s="1"/>
  <c r="J41" i="1"/>
  <c r="I41" i="1"/>
  <c r="K42" i="1"/>
  <c r="L42" i="1" s="1"/>
  <c r="N42" i="1" s="1"/>
  <c r="M42" i="1" s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K47" i="1" s="1"/>
  <c r="J49" i="1"/>
  <c r="J51" i="1"/>
  <c r="J53" i="1"/>
  <c r="J55" i="1"/>
  <c r="J57" i="1"/>
  <c r="J59" i="1"/>
  <c r="J61" i="1"/>
  <c r="J63" i="1"/>
  <c r="K63" i="1" s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49" i="1"/>
  <c r="K51" i="1"/>
  <c r="K65" i="1"/>
  <c r="K22" i="1" l="1"/>
  <c r="K155" i="1"/>
  <c r="K123" i="1"/>
  <c r="K156" i="1"/>
  <c r="L156" i="1" s="1"/>
  <c r="N156" i="1" s="1"/>
  <c r="M156" i="1" s="1"/>
  <c r="K121" i="1"/>
  <c r="K34" i="1"/>
  <c r="L34" i="1" s="1"/>
  <c r="N34" i="1" s="1"/>
  <c r="M34" i="1" s="1"/>
  <c r="K18" i="1"/>
  <c r="L18" i="1" s="1"/>
  <c r="N18" i="1" s="1"/>
  <c r="M18" i="1" s="1"/>
  <c r="K53" i="1"/>
  <c r="K138" i="1"/>
  <c r="L138" i="1" s="1"/>
  <c r="N138" i="1" s="1"/>
  <c r="M138" i="1" s="1"/>
  <c r="L90" i="1"/>
  <c r="N90" i="1" s="1"/>
  <c r="M90" i="1" s="1"/>
  <c r="K139" i="1"/>
  <c r="K160" i="1"/>
  <c r="L160" i="1" s="1"/>
  <c r="N160" i="1" s="1"/>
  <c r="M160" i="1" s="1"/>
  <c r="K129" i="1"/>
  <c r="K122" i="1"/>
  <c r="L122" i="1" s="1"/>
  <c r="N122" i="1" s="1"/>
  <c r="M122" i="1" s="1"/>
  <c r="K157" i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53" i="1"/>
  <c r="N53" i="1" s="1"/>
  <c r="M53" i="1" s="1"/>
  <c r="L118" i="1"/>
  <c r="N118" i="1" s="1"/>
  <c r="M118" i="1" s="1"/>
  <c r="L51" i="1"/>
  <c r="N51" i="1" s="1"/>
  <c r="M51" i="1" s="1"/>
  <c r="L45" i="1"/>
  <c r="N45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L150" i="1"/>
  <c r="N150" i="1" s="1"/>
  <c r="M150" i="1" s="1"/>
  <c r="K150" i="1"/>
  <c r="K141" i="1"/>
  <c r="K140" i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K21" i="1"/>
  <c r="L21" i="1" s="1"/>
  <c r="N21" i="1" s="1"/>
  <c r="M21" i="1" s="1"/>
  <c r="K133" i="1"/>
  <c r="L133" i="1" s="1"/>
  <c r="N133" i="1" s="1"/>
  <c r="M133" i="1" s="1"/>
  <c r="K101" i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65" i="1"/>
  <c r="N65" i="1" s="1"/>
  <c r="L63" i="1"/>
  <c r="N63" i="1" s="1"/>
  <c r="L148" i="1"/>
  <c r="N148" i="1" s="1"/>
  <c r="M148" i="1" s="1"/>
  <c r="K20" i="1"/>
  <c r="L20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L67" i="1"/>
  <c r="N67" i="1" s="1"/>
  <c r="M67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L128" i="1"/>
  <c r="N128" i="1" s="1"/>
  <c r="M128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L157" i="1"/>
  <c r="N157" i="1" s="1"/>
  <c r="M157" i="1" s="1"/>
  <c r="L121" i="1"/>
  <c r="N121" i="1" s="1"/>
  <c r="M121" i="1" s="1"/>
  <c r="L105" i="1"/>
  <c r="N105" i="1" s="1"/>
  <c r="M105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L101" i="1"/>
  <c r="N101" i="1" s="1"/>
  <c r="M101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L97" i="1"/>
  <c r="N97" i="1" s="1"/>
  <c r="M97" i="1" s="1"/>
  <c r="K69" i="1"/>
  <c r="L69" i="1" s="1"/>
  <c r="N69" i="1" s="1"/>
  <c r="M69" i="1" s="1"/>
  <c r="L96" i="1"/>
  <c r="N96" i="1" s="1"/>
  <c r="M96" i="1" s="1"/>
  <c r="L140" i="1"/>
  <c r="N140" i="1" s="1"/>
  <c r="M140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141" i="1"/>
  <c r="N141" i="1" s="1"/>
  <c r="M141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L139" i="1"/>
  <c r="N139" i="1" s="1"/>
  <c r="M139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45" i="1"/>
  <c r="M25" i="1"/>
  <c r="M19" i="1"/>
  <c r="M17" i="1"/>
  <c r="M15" i="1"/>
  <c r="M65" i="1"/>
  <c r="M63" i="1"/>
  <c r="J162" i="1"/>
  <c r="M40" i="1"/>
  <c r="M27" i="1"/>
  <c r="M47" i="1"/>
  <c r="M39" i="1"/>
  <c r="M37" i="1"/>
  <c r="M35" i="1"/>
  <c r="M33" i="1"/>
  <c r="M14" i="1"/>
  <c r="K162" i="1" l="1"/>
  <c r="N20" i="1"/>
  <c r="L162" i="1"/>
  <c r="L127" i="1"/>
  <c r="N127" i="1" s="1"/>
  <c r="M127" i="1" s="1"/>
  <c r="M20" i="1" l="1"/>
  <c r="N162" i="1"/>
  <c r="O65" i="1" l="1"/>
  <c r="O14" i="1"/>
  <c r="O29" i="1"/>
  <c r="O61" i="1"/>
  <c r="O108" i="1"/>
  <c r="O114" i="1"/>
  <c r="O69" i="1"/>
  <c r="O71" i="1"/>
  <c r="O73" i="1"/>
  <c r="O142" i="1"/>
  <c r="O37" i="1"/>
  <c r="M162" i="1"/>
  <c r="O160" i="1"/>
  <c r="O140" i="1"/>
  <c r="O122" i="1"/>
  <c r="O101" i="1"/>
  <c r="O105" i="1"/>
  <c r="O38" i="1"/>
  <c r="O22" i="1"/>
  <c r="O82" i="1"/>
  <c r="O47" i="1"/>
  <c r="O19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18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0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<sst xmlns="http://schemas.openxmlformats.org/spreadsheetml/2006/main" count="549" uniqueCount="317">
  <si>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</si>
  <si>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</si>
  <si>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</si>
  <si>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</si>
  <si>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</si>
  <si>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</si>
  <si>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</si>
  <si>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</si>
  <si>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</si>
  <si>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</si>
  <si>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</si>
  <si>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</si>
  <si>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</si>
  <si>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</si>
  <si>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</si>
  <si>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</si>
  <si>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</si>
  <si>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</si>
  <si>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ANTI GRAVITY BOQ IMPORT TEMPLATE - INSTRUCTIONS</t>
  </si>
  <si>
    <t>Purpose</t>
  </si>
  <si>
    <t>Use this fixed-format worksheet for encoding bid detailed cost breakdown data. The app should read fixed columns and formulas without changing the worksheet structure.</t>
  </si>
  <si>
    <t>Main sheet</t>
  </si>
  <si>
    <t>BOQ_DATA_ENTRY</t>
  </si>
  <si>
    <t>Header rows</t>
  </si>
  <si>
    <t>Rows 1 to 4</t>
  </si>
  <si>
    <t>Data entry rows</t>
  </si>
  <si>
    <t>Rows 5 to 504</t>
  </si>
  <si>
    <t>Grand total row</t>
  </si>
  <si>
    <t>Row 505</t>
  </si>
  <si>
    <t>User input columns</t>
  </si>
  <si>
    <t>A:G only</t>
  </si>
  <si>
    <t>Formula columns</t>
  </si>
  <si>
    <t>H:O</t>
  </si>
  <si>
    <t>Important change</t>
  </si>
  <si>
    <t>The previous TOTAL direct unit cost column was removed. Total Direct Cost now computes as Quantity × SUM(Material, Labor, Equipment).</t>
  </si>
  <si>
    <t>Percentage column</t>
  </si>
  <si>
    <t>Column O = Amount / Grand Total Amount. The grand total percentage at O505 should equal 100.00% when all items are complete.</t>
  </si>
  <si>
    <t>Extraction rule</t>
  </si>
  <si>
    <t>Import encoded item rows from Row 5 to Row 504. Ignore blank rows and Row 505.</t>
  </si>
  <si>
    <t>Do not modify</t>
  </si>
  <si>
    <t>Merged headers, formula columns H:O, grand total row, and fixed column positions.</t>
  </si>
  <si>
    <t>Column</t>
  </si>
  <si>
    <t>Field</t>
  </si>
  <si>
    <t>Editable?</t>
  </si>
  <si>
    <t>Formula / Rule</t>
  </si>
  <si>
    <t>Format</t>
  </si>
  <si>
    <t>Notes</t>
  </si>
  <si>
    <t>A</t>
  </si>
  <si>
    <t>Item #</t>
  </si>
  <si>
    <t>Yes</t>
  </si>
  <si>
    <t>Manual entry</t>
  </si>
  <si>
    <t>Text/Number</t>
  </si>
  <si>
    <t>Can be section or item number</t>
  </si>
  <si>
    <t>B</t>
  </si>
  <si>
    <t>Description</t>
  </si>
  <si>
    <t>Text</t>
  </si>
  <si>
    <t>Scope of work / item description</t>
  </si>
  <si>
    <t>C</t>
  </si>
  <si>
    <t>Unit</t>
  </si>
  <si>
    <t>lot, sq.m, cu.m, l.m, pcs, etc.</t>
  </si>
  <si>
    <t>D</t>
  </si>
  <si>
    <t>Quantity</t>
  </si>
  <si>
    <t>#,##0.00</t>
  </si>
  <si>
    <t>Used in total direct cost</t>
  </si>
  <si>
    <t>E</t>
  </si>
  <si>
    <t>Material</t>
  </si>
  <si>
    <t>Direct unit material cost</t>
  </si>
  <si>
    <t>F</t>
  </si>
  <si>
    <t>Labor</t>
  </si>
  <si>
    <t>Direct unit labor cost</t>
  </si>
  <si>
    <t>G</t>
  </si>
  <si>
    <t>Equipment</t>
  </si>
  <si>
    <t>Direct unit equipment cost</t>
  </si>
  <si>
    <t>H</t>
  </si>
  <si>
    <t>Total Direct Cost</t>
  </si>
  <si>
    <t>No</t>
  </si>
  <si>
    <t>Quantity × SUM(E:G)</t>
  </si>
  <si>
    <t>No separate direct unit total column</t>
  </si>
  <si>
    <t>I</t>
  </si>
  <si>
    <t>H × I4</t>
  </si>
  <si>
    <t>Rate stored at I4</t>
  </si>
  <si>
    <t>J</t>
  </si>
  <si>
    <t>H × J4</t>
  </si>
  <si>
    <t>Rate stored at J4</t>
  </si>
  <si>
    <t>K</t>
  </si>
  <si>
    <t>VAT</t>
  </si>
  <si>
    <t>(H+I+J) × K4</t>
  </si>
  <si>
    <t>Rate stored at K4</t>
  </si>
  <si>
    <t>L</t>
  </si>
  <si>
    <t>Total Indirect Cost</t>
  </si>
  <si>
    <t>SUM(I:K)</t>
  </si>
  <si>
    <t>M</t>
  </si>
  <si>
    <t>Unit Cost</t>
  </si>
  <si>
    <t>Amount / Quantity</t>
  </si>
  <si>
    <t>N</t>
  </si>
  <si>
    <t>Amount</t>
  </si>
  <si>
    <t>H + L</t>
  </si>
  <si>
    <t>Basis for grand total</t>
  </si>
  <si>
    <t>O</t>
  </si>
  <si>
    <t>Percentage</t>
  </si>
  <si>
    <t>Amount / Grand Total</t>
  </si>
  <si>
    <t>0.00%</t>
  </si>
  <si>
    <t>Grand total must summarize to 100.00%</t>
  </si>
  <si>
    <t>App Field Map for Anti Gravity Extraction</t>
  </si>
  <si>
    <t>Fixed Sheet</t>
  </si>
  <si>
    <t>Header Rows</t>
  </si>
  <si>
    <t>1:4</t>
  </si>
  <si>
    <t>Data Rows</t>
  </si>
  <si>
    <t>5:504</t>
  </si>
  <si>
    <t>Grand Total Row</t>
  </si>
  <si>
    <t>505</t>
  </si>
  <si>
    <t>Excel Header</t>
  </si>
  <si>
    <t>Suggested DB Field</t>
  </si>
  <si>
    <t>Data Type</t>
  </si>
  <si>
    <t>Extraction Note</t>
  </si>
  <si>
    <t>item_no</t>
  </si>
  <si>
    <t>string</t>
  </si>
  <si>
    <t>Skip blank rows</t>
  </si>
  <si>
    <t>DESCRIPTION</t>
  </si>
  <si>
    <t>description</t>
  </si>
  <si>
    <t>Required for item rows</t>
  </si>
  <si>
    <t>unit</t>
  </si>
  <si>
    <t>Keep unit abbreviations unchanged</t>
  </si>
  <si>
    <t>quantity</t>
  </si>
  <si>
    <t>decimal</t>
  </si>
  <si>
    <t>Import as number</t>
  </si>
  <si>
    <t>material_direct_unit_cost</t>
  </si>
  <si>
    <t>User encoded</t>
  </si>
  <si>
    <t>labor_direct_unit_cost</t>
  </si>
  <si>
    <t>equipment_direct_unit_cost</t>
  </si>
  <si>
    <t>TOTAL DIRECT COST</t>
  </si>
  <si>
    <t>total_direct_cost</t>
  </si>
  <si>
    <t>decimal/formula</t>
  </si>
  <si>
    <t>Formula: D × SUM(E:G)</t>
  </si>
  <si>
    <t>ocm_amount</t>
  </si>
  <si>
    <t>Formula based on I4</t>
  </si>
  <si>
    <t>cp_amount</t>
  </si>
  <si>
    <t>Formula based on J4</t>
  </si>
  <si>
    <t>vat_amount</t>
  </si>
  <si>
    <t>Formula based on K4</t>
  </si>
  <si>
    <t>TOTAL INDIRECT COST</t>
  </si>
  <si>
    <t>total_indirect_cost</t>
  </si>
  <si>
    <t>Sum of OCM, CP, VAT</t>
  </si>
  <si>
    <t>unit_cost</t>
  </si>
  <si>
    <t>Amount / quantity</t>
  </si>
  <si>
    <t>amount</t>
  </si>
  <si>
    <t>Total direct + indirect</t>
  </si>
  <si>
    <t>percentage_share</t>
  </si>
  <si>
    <t>percentage/formula</t>
  </si>
  <si>
    <t>Amount / grand total</t>
  </si>
  <si>
    <t>Common Units</t>
  </si>
  <si>
    <t>Markup Rates</t>
  </si>
  <si>
    <t>Import Status</t>
  </si>
  <si>
    <t>lot</t>
  </si>
  <si>
    <t>OCM = 8.00%</t>
  </si>
  <si>
    <t>Ready</t>
  </si>
  <si>
    <t>Use this sheet as a reference only.</t>
  </si>
  <si>
    <t>pcs</t>
  </si>
  <si>
    <t>CP = 8.00%</t>
  </si>
  <si>
    <t>Incomplete</t>
  </si>
  <si>
    <t>Do not extract this sheet.</t>
  </si>
  <si>
    <t>set</t>
  </si>
  <si>
    <t>VAT = 5.00%</t>
  </si>
  <si>
    <t>Review</t>
  </si>
  <si>
    <t>sq.m</t>
  </si>
  <si>
    <t>cu.m</t>
  </si>
  <si>
    <t>l.m</t>
  </si>
  <si>
    <t>kg</t>
  </si>
  <si>
    <t>bag</t>
  </si>
  <si>
    <t>gal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</si>
  <si>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</si>
  <si>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</si>
  <si>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</si>
  <si>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</si>
  <si>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</si>
  <si>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</si>
  <si>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</si>
  <si>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</si>
  <si>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</si>
  <si>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</si>
  <si>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</si>
  <si>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</si>
  <si>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</si>
  <si>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</si>
  <si>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</si>
  <si>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</si>
  <si>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</si>
  <si>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</si>
  <si>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</si>
  <si>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</si>
  <si>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</si>
  <si>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</si>
  <si>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</si>
  <si>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</si>
  <si>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</si>
  <si>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</si>
  <si>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</si>
  <si>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</si>
  <si>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</si>
  <si>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</si>
  <si>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</si>
  <si>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</si>
  <si>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</si>
  <si>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</si>
  <si>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</si>
  <si>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</si>
  <si>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</si>
  <si>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</si>
  <si>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</si>
  <si>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</si>
  <si>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</si>
  <si>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</si>
  <si>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</si>
  <si>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</si>
  <si>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</si>
  <si>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</si>
  <si>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</si>
  <si>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</si>
  <si>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</si>
  <si>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</si>
  <si>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</si>
  <si>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</si>
  <si>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</si>
  <si>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</si>
  <si>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</si>
  <si>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</si>
  <si>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</si>
  <si>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</si>
  <si>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</si>
  <si>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</si>
  <si>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</si>
  <si>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</si>
  <si>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</si>
  <si>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</si>
  <si>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</si>
  <si>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</si>
  <si>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</si>
  <si>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</si>
  <si>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</si>
  <si>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</si>
  <si>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</si>
  <si>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</si>
  <si>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</si>
  <si>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</si>
  <si>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</si>
  <si>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</si>
  <si>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</si>
  <si>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</si>
  <si>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</si>
  <si>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</si>
  <si>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</si>
  <si>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</si>
  <si>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</si>
  <si>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</si>
  <si>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</si>
  <si>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</si>
  <si>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</si>
  <si>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</si>
  <si>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</si>
  <si>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</si>
  <si>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</si>
  <si>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</si>
  <si>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</si>
  <si>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</si>
  <si>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</si>
  <si>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</si>
  <si>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</si>
  <si>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</si>
  <si>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</si>
  <si>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</si>
  <si>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</si>
  <si>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</si>
  <si>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</si>
  <si>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</si>
  <si>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</si>
  <si>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</si>
  <si>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</si>
  <si>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REPUBLIC OF THE PHILLIPINES</t>
  </si>
  <si>
    <t>PROVINCE OF BUKIDNON</t>
  </si>
  <si>
    <t>MUNICIPALITY OF TALAKAG</t>
  </si>
  <si>
    <t>PROJECT:</t>
  </si>
  <si>
    <t>DESIGN AND BUILD OF TALAKAG GOVERNMENT CENTER</t>
  </si>
  <si>
    <t>LOCATION:</t>
  </si>
  <si>
    <t>Barangay 2, Talakag, Bukidnon</t>
  </si>
  <si>
    <t>SUBJECT:</t>
  </si>
  <si>
    <t>Program of Works</t>
  </si>
  <si>
    <t xml:space="preserve">III. </t>
  </si>
  <si>
    <t xml:space="preserve">IV.  </t>
  </si>
  <si>
    <t xml:space="preserve">V.  </t>
  </si>
  <si>
    <t xml:space="preserve">VI. </t>
  </si>
  <si>
    <t xml:space="preserve">VII. </t>
  </si>
  <si>
    <t xml:space="preserve">VIII. </t>
  </si>
  <si>
    <t xml:space="preserve">IX. </t>
  </si>
  <si>
    <t>X.</t>
  </si>
  <si>
    <t xml:space="preserve"> PLUMBING WORKS</t>
  </si>
  <si>
    <t xml:space="preserve">XI </t>
  </si>
  <si>
    <t xml:space="preserve">XII. </t>
  </si>
  <si>
    <t xml:space="preserve">XIII.  </t>
  </si>
  <si>
    <t>XIV.</t>
  </si>
  <si>
    <t xml:space="preserve"> EXTERIOR DEVELOPMENT</t>
  </si>
  <si>
    <t>XV.</t>
  </si>
  <si>
    <t xml:space="preserve"> CONSTRUCTION OF GUARDHOUSE</t>
  </si>
  <si>
    <t xml:space="preserve">XVI.  </t>
  </si>
  <si>
    <t xml:space="preserve">XVII.  </t>
  </si>
  <si>
    <t xml:space="preserve">XVIII. </t>
  </si>
  <si>
    <t xml:space="preserve"> CONSTRUCTION OF COFFEE SHOP</t>
  </si>
  <si>
    <t xml:space="preserve">X1X. </t>
  </si>
  <si>
    <t xml:space="preserve"> CONSTRUCTION OF NEGOSYO &amp; TOURISM CENTER</t>
  </si>
  <si>
    <t>XX.</t>
  </si>
  <si>
    <t xml:space="preserve"> CONSTRUCTION OF POLICE SUBSTATION</t>
  </si>
  <si>
    <t xml:space="preserve">XXI. </t>
  </si>
  <si>
    <t xml:space="preserve"> CONSTRUCTION OF SUBSTATION / POWERHOUSE</t>
  </si>
  <si>
    <t xml:space="preserve">XXII. </t>
  </si>
  <si>
    <t xml:space="preserve"> FURNITURES</t>
  </si>
  <si>
    <t xml:space="preserve">XXIII. </t>
  </si>
  <si>
    <t xml:space="preserve"> EMERGENCY STANDBY GENERATOR</t>
  </si>
  <si>
    <t xml:space="preserve">XXIV.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</si>
</sst>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4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9857783745845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119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4" fontId="4" fillId="4" borderId="2" xfId="0" applyNumberFormat="1" applyFont="1" applyFill="1" applyBorder="1" applyAlignment="1">
      <alignment horizontal="center" vertical="center"/>
    </xf>
    <xf numFmtId="4" fontId="4" fillId="4" borderId="2" xfId="0" applyNumberFormat="1" applyFont="1" applyFill="1" applyBorder="1" applyAlignment="1">
      <alignment horizontal="right" vertical="center"/>
    </xf>
    <xf numFmtId="4" fontId="4" fillId="5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center" vertical="center"/>
    </xf>
    <xf numFmtId="10" fontId="4" fillId="5" borderId="4" xfId="0" applyNumberFormat="1" applyFont="1" applyFill="1" applyBorder="1" applyAlignment="1">
      <alignment horizontal="right" vertical="center"/>
    </xf>
    <xf numFmtId="10" fontId="3" fillId="3" borderId="5" xfId="0" applyNumberFormat="1" applyFont="1" applyFill="1" applyBorder="1" applyAlignment="1">
      <alignment horizontal="center" vertical="center" wrapText="1"/>
    </xf>
    <xf numFmtId="4" fontId="2" fillId="2" borderId="5" xfId="0" applyNumberFormat="1" applyFont="1" applyFill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3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/>
    </xf>
    <xf numFmtId="164" fontId="8" fillId="0" borderId="12" xfId="2" applyNumberFormat="1" applyFont="1" applyBorder="1" applyAlignment="1">
      <alignment horizontal="left" vertical="center"/>
    </xf>
    <xf numFmtId="0" fontId="8" fillId="0" borderId="13" xfId="2" applyFont="1" applyBorder="1" applyAlignment="1">
      <alignment vertical="center"/>
    </xf>
    <xf numFmtId="0" fontId="8" fillId="0" borderId="14" xfId="2" applyFont="1" applyBorder="1" applyAlignment="1">
      <alignment horizontal="center" vertical="center"/>
    </xf>
    <xf numFmtId="43" fontId="8" fillId="0" borderId="14" xfId="3" applyFont="1" applyFill="1" applyBorder="1" applyAlignment="1">
      <alignment horizontal="right" vertical="center"/>
    </xf>
    <xf numFmtId="43" fontId="8" fillId="0" borderId="14" xfId="1" applyFont="1" applyFill="1" applyBorder="1" applyAlignment="1">
      <alignment horizontal="right" vertical="center"/>
    </xf>
    <xf numFmtId="164" fontId="8" fillId="0" borderId="15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left" vertical="center" indent="1"/>
    </xf>
    <xf numFmtId="0" fontId="8" fillId="0" borderId="17" xfId="2" applyFont="1" applyBorder="1" applyAlignment="1">
      <alignment horizontal="center" vertical="center"/>
    </xf>
    <xf numFmtId="43" fontId="8" fillId="0" borderId="17" xfId="3" applyFont="1" applyFill="1" applyBorder="1" applyAlignment="1">
      <alignment horizontal="right" vertical="center"/>
    </xf>
    <xf numFmtId="43" fontId="8" fillId="0" borderId="18" xfId="1" applyFont="1" applyFill="1" applyBorder="1" applyAlignment="1">
      <alignment horizontal="right" vertical="center"/>
    </xf>
    <xf numFmtId="43" fontId="8" fillId="0" borderId="17" xfId="1" applyFont="1" applyFill="1" applyBorder="1" applyAlignment="1">
      <alignment horizontal="left" vertical="center"/>
    </xf>
    <xf numFmtId="164" fontId="8" fillId="6" borderId="19" xfId="2" applyNumberFormat="1" applyFont="1" applyFill="1" applyBorder="1" applyAlignment="1">
      <alignment horizontal="left" vertical="center"/>
    </xf>
    <xf numFmtId="0" fontId="8" fillId="6" borderId="20" xfId="2" applyFont="1" applyFill="1" applyBorder="1" applyAlignment="1">
      <alignment horizontal="left" vertical="center" indent="1"/>
    </xf>
    <xf numFmtId="0" fontId="8" fillId="6" borderId="18" xfId="2" applyFont="1" applyFill="1" applyBorder="1" applyAlignment="1">
      <alignment horizontal="center" vertical="center"/>
    </xf>
    <xf numFmtId="43" fontId="8" fillId="6" borderId="18" xfId="3" applyFont="1" applyFill="1" applyBorder="1" applyAlignment="1">
      <alignment horizontal="right" vertical="center"/>
    </xf>
    <xf numFmtId="43" fontId="8" fillId="6" borderId="18" xfId="1" applyFont="1" applyFill="1" applyBorder="1" applyAlignment="1">
      <alignment horizontal="left" vertical="center"/>
    </xf>
    <xf numFmtId="164" fontId="7" fillId="7" borderId="11" xfId="3" applyNumberFormat="1" applyFont="1" applyFill="1" applyBorder="1" applyAlignment="1">
      <alignment horizontal="left" vertical="center"/>
    </xf>
    <xf numFmtId="0" fontId="8" fillId="7" borderId="11" xfId="2" applyFont="1" applyFill="1" applyBorder="1" applyAlignment="1">
      <alignment horizontal="center" vertical="center"/>
    </xf>
    <xf numFmtId="43" fontId="8" fillId="7" borderId="11" xfId="3" applyFont="1" applyFill="1" applyBorder="1" applyAlignment="1">
      <alignment horizontal="right" vertical="center"/>
    </xf>
    <xf numFmtId="164" fontId="8" fillId="0" borderId="13" xfId="2" applyNumberFormat="1" applyFont="1" applyBorder="1" applyAlignment="1">
      <alignment horizontal="left" vertical="center"/>
    </xf>
    <xf numFmtId="0" fontId="8" fillId="0" borderId="21" xfId="4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22" xfId="4" applyFont="1" applyBorder="1" applyAlignment="1">
      <alignment vertical="center"/>
    </xf>
    <xf numFmtId="43" fontId="8" fillId="0" borderId="16" xfId="3" applyFont="1" applyFill="1" applyBorder="1" applyAlignment="1">
      <alignment horizontal="right" vertical="center"/>
    </xf>
    <xf numFmtId="164" fontId="8" fillId="6" borderId="13" xfId="2" applyNumberFormat="1" applyFont="1" applyFill="1" applyBorder="1" applyAlignment="1">
      <alignment horizontal="left" vertical="center"/>
    </xf>
    <xf numFmtId="0" fontId="8" fillId="6" borderId="22" xfId="4" applyFont="1" applyFill="1" applyBorder="1" applyAlignment="1">
      <alignment vertical="center"/>
    </xf>
    <xf numFmtId="0" fontId="8" fillId="6" borderId="13" xfId="2" applyFont="1" applyFill="1" applyBorder="1" applyAlignment="1">
      <alignment horizontal="center" vertical="center"/>
    </xf>
    <xf numFmtId="43" fontId="8" fillId="6" borderId="17" xfId="3" applyFont="1" applyFill="1" applyBorder="1" applyAlignment="1">
      <alignment horizontal="right" vertical="center"/>
    </xf>
    <xf numFmtId="43" fontId="8" fillId="6" borderId="16" xfId="3" applyFont="1" applyFill="1" applyBorder="1" applyAlignment="1">
      <alignment horizontal="right" vertical="center"/>
    </xf>
    <xf numFmtId="0" fontId="8" fillId="7" borderId="10" xfId="4" applyFont="1" applyFill="1" applyBorder="1" applyAlignment="1">
      <alignment vertical="center"/>
    </xf>
    <xf numFmtId="164" fontId="8" fillId="0" borderId="16" xfId="2" applyNumberFormat="1" applyFont="1" applyBorder="1" applyAlignment="1">
      <alignment horizontal="left" vertical="center"/>
    </xf>
    <xf numFmtId="164" fontId="8" fillId="0" borderId="22" xfId="2" applyNumberFormat="1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43" fontId="8" fillId="0" borderId="23" xfId="3" applyFont="1" applyFill="1" applyBorder="1" applyAlignment="1">
      <alignment horizontal="right" vertical="center"/>
    </xf>
    <xf numFmtId="164" fontId="8" fillId="0" borderId="11" xfId="3" applyNumberFormat="1" applyFont="1" applyFill="1" applyBorder="1" applyAlignment="1">
      <alignment horizontal="left" vertical="center"/>
    </xf>
    <xf numFmtId="0" fontId="8" fillId="0" borderId="10" xfId="2" applyFont="1" applyBorder="1" applyAlignment="1">
      <alignment horizontal="left" vertical="center"/>
    </xf>
    <xf numFmtId="0" fontId="8" fillId="0" borderId="24" xfId="2" applyFont="1" applyBorder="1" applyAlignment="1">
      <alignment horizontal="center" vertical="center"/>
    </xf>
    <xf numFmtId="43" fontId="8" fillId="0" borderId="24" xfId="3" applyFont="1" applyFill="1" applyBorder="1" applyAlignment="1">
      <alignment horizontal="right" vertical="center"/>
    </xf>
    <xf numFmtId="0" fontId="8" fillId="0" borderId="22" xfId="2" applyFont="1" applyBorder="1" applyAlignment="1">
      <alignment horizontal="left" vertical="center"/>
    </xf>
    <xf numFmtId="43" fontId="8" fillId="8" borderId="17" xfId="3" applyFont="1" applyFill="1" applyBorder="1" applyAlignment="1">
      <alignment horizontal="right" vertical="center"/>
    </xf>
    <xf numFmtId="164" fontId="8" fillId="0" borderId="20" xfId="2" applyNumberFormat="1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8" fillId="0" borderId="20" xfId="2" applyFont="1" applyBorder="1" applyAlignment="1">
      <alignment horizontal="center" vertical="center"/>
    </xf>
    <xf numFmtId="43" fontId="8" fillId="0" borderId="18" xfId="3" applyFont="1" applyFill="1" applyBorder="1" applyAlignment="1">
      <alignment horizontal="right" vertical="center"/>
    </xf>
    <xf numFmtId="43" fontId="8" fillId="8" borderId="18" xfId="3" applyFont="1" applyFill="1" applyBorder="1" applyAlignment="1">
      <alignment horizontal="right" vertical="center"/>
    </xf>
    <xf numFmtId="0" fontId="8" fillId="7" borderId="11" xfId="4" applyFont="1" applyFill="1" applyBorder="1" applyAlignment="1">
      <alignment vertical="center"/>
    </xf>
    <xf numFmtId="0" fontId="8" fillId="0" borderId="21" xfId="2" applyFont="1" applyBorder="1" applyAlignment="1">
      <alignment horizontal="left" vertical="center"/>
    </xf>
    <xf numFmtId="43" fontId="8" fillId="8" borderId="14" xfId="3" applyFont="1" applyFill="1" applyBorder="1" applyAlignment="1">
      <alignment horizontal="right" vertical="center"/>
    </xf>
    <xf numFmtId="0" fontId="8" fillId="0" borderId="26" xfId="2" applyFont="1" applyBorder="1" applyAlignment="1">
      <alignment horizontal="left" vertical="center"/>
    </xf>
    <xf numFmtId="164" fontId="7" fillId="9" borderId="11" xfId="3" applyNumberFormat="1" applyFont="1" applyFill="1" applyBorder="1" applyAlignment="1">
      <alignment horizontal="left" vertical="center"/>
    </xf>
    <xf numFmtId="164" fontId="8" fillId="0" borderId="27" xfId="3" applyNumberFormat="1" applyFont="1" applyFill="1" applyBorder="1" applyAlignment="1">
      <alignment horizontal="left" vertical="center"/>
    </xf>
    <xf numFmtId="0" fontId="8" fillId="0" borderId="28" xfId="2" applyFont="1" applyBorder="1" applyAlignment="1">
      <alignment horizontal="left" vertical="center"/>
    </xf>
    <xf numFmtId="0" fontId="8" fillId="0" borderId="27" xfId="2" applyFont="1" applyBorder="1" applyAlignment="1">
      <alignment horizontal="center" vertical="center"/>
    </xf>
    <xf numFmtId="43" fontId="8" fillId="0" borderId="29" xfId="3" applyFont="1" applyFill="1" applyBorder="1" applyAlignment="1">
      <alignment horizontal="right" vertical="center"/>
    </xf>
    <xf numFmtId="43" fontId="8" fillId="0" borderId="27" xfId="3" applyFont="1" applyFill="1" applyBorder="1" applyAlignment="1">
      <alignment horizontal="right" vertical="center"/>
    </xf>
    <xf numFmtId="164" fontId="8" fillId="0" borderId="1" xfId="3" applyNumberFormat="1" applyFont="1" applyFill="1" applyBorder="1" applyAlignment="1">
      <alignment horizontal="left" vertical="center"/>
    </xf>
    <xf numFmtId="0" fontId="8" fillId="0" borderId="1" xfId="2" applyFont="1" applyAlignment="1">
      <alignment horizontal="center" vertical="center"/>
    </xf>
    <xf numFmtId="43" fontId="8" fillId="0" borderId="30" xfId="3" applyFont="1" applyFill="1" applyBorder="1" applyAlignment="1">
      <alignment horizontal="right" vertical="center"/>
    </xf>
    <xf numFmtId="43" fontId="8" fillId="0" borderId="20" xfId="3" applyFont="1" applyFill="1" applyBorder="1" applyAlignment="1">
      <alignment horizontal="right" vertical="center"/>
    </xf>
    <xf numFmtId="43" fontId="8" fillId="8" borderId="23" xfId="3" applyFont="1" applyFill="1" applyBorder="1" applyAlignment="1">
      <alignment horizontal="right" vertical="center"/>
    </xf>
    <xf numFmtId="165" fontId="8" fillId="0" borderId="16" xfId="2" applyNumberFormat="1" applyFont="1" applyBorder="1" applyAlignment="1">
      <alignment horizontal="center" vertical="center"/>
    </xf>
    <xf numFmtId="164" fontId="8" fillId="0" borderId="31" xfId="2" applyNumberFormat="1" applyFont="1" applyBorder="1" applyAlignment="1">
      <alignment horizontal="left" vertical="center"/>
    </xf>
    <xf numFmtId="164" fontId="8" fillId="0" borderId="32" xfId="2" applyNumberFormat="1" applyFont="1" applyBorder="1" applyAlignment="1">
      <alignment horizontal="left" vertical="center"/>
    </xf>
    <xf numFmtId="0" fontId="8" fillId="0" borderId="31" xfId="2" applyFont="1" applyBorder="1" applyAlignment="1">
      <alignment horizontal="center" vertical="center"/>
    </xf>
    <xf numFmtId="164" fontId="8" fillId="0" borderId="33" xfId="2" applyNumberFormat="1" applyFont="1" applyBorder="1" applyAlignment="1">
      <alignment horizontal="left" vertical="center"/>
    </xf>
    <xf numFmtId="0" fontId="8" fillId="0" borderId="34" xfId="2" applyFont="1" applyBorder="1" applyAlignment="1">
      <alignment horizontal="center" vertical="center"/>
    </xf>
    <xf numFmtId="43" fontId="8" fillId="0" borderId="35" xfId="3" applyFont="1" applyFill="1" applyBorder="1" applyAlignment="1">
      <alignment horizontal="right" vertical="center"/>
    </xf>
    <xf numFmtId="43" fontId="8" fillId="8" borderId="35" xfId="3" applyFont="1" applyFill="1" applyBorder="1" applyAlignment="1">
      <alignment horizontal="right" vertical="center"/>
    </xf>
    <xf numFmtId="43" fontId="8" fillId="8" borderId="36" xfId="3" applyFont="1" applyFill="1" applyBorder="1" applyAlignment="1">
      <alignment horizontal="right" vertical="center"/>
    </xf>
    <xf numFmtId="0" fontId="0" fillId="0" borderId="1" xfId="0" applyBorder="1"/>
    <xf numFmtId="0" fontId="11" fillId="0" borderId="1" xfId="4" applyFont="1" applyAlignment="1">
      <alignment vertical="center"/>
    </xf>
    <xf numFmtId="0" fontId="12" fillId="0" borderId="1" xfId="4" applyFont="1" applyAlignment="1">
      <alignment vertical="center"/>
    </xf>
    <xf numFmtId="0" fontId="12" fillId="0" borderId="1" xfId="4" applyFont="1" applyAlignment="1">
      <alignment horizontal="center" vertical="center"/>
    </xf>
    <xf numFmtId="43" fontId="12" fillId="0" borderId="1" xfId="4" applyNumberFormat="1" applyFont="1" applyAlignment="1">
      <alignment horizontal="center" vertical="center"/>
    </xf>
    <xf numFmtId="0" fontId="11" fillId="0" borderId="1" xfId="4" applyFont="1" applyAlignment="1">
      <alignment horizontal="left" vertical="center"/>
    </xf>
    <xf numFmtId="0" fontId="11" fillId="0" borderId="1" xfId="4" applyFont="1" applyAlignment="1">
      <alignment horizontal="center" vertical="center"/>
    </xf>
    <xf numFmtId="0" fontId="11" fillId="8" borderId="1" xfId="4" applyFont="1" applyFill="1" applyAlignment="1">
      <alignment horizontal="center" vertical="center"/>
    </xf>
    <xf numFmtId="43" fontId="11" fillId="0" borderId="1" xfId="4" applyNumberFormat="1" applyFont="1" applyAlignment="1">
      <alignment horizontal="center" vertical="center"/>
    </xf>
    <xf numFmtId="0" fontId="7" fillId="0" borderId="1" xfId="4" applyFont="1" applyAlignment="1">
      <alignment horizontal="center" vertical="center"/>
    </xf>
    <xf numFmtId="0" fontId="9" fillId="0" borderId="1" xfId="4" applyFont="1" applyAlignment="1">
      <alignment horizontal="center" vertical="center"/>
    </xf>
    <xf numFmtId="0" fontId="10" fillId="0" borderId="1" xfId="4" applyFont="1" applyAlignment="1">
      <alignment horizontal="center" vertical="center"/>
    </xf>
    <xf numFmtId="0" fontId="12" fillId="0" borderId="1" xfId="4" applyFont="1" applyAlignment="1">
      <alignment horizontal="left" vertical="center"/>
    </xf>
    <xf numFmtId="0" fontId="7" fillId="0" borderId="1" xfId="4" applyFont="1" applyAlignment="1">
      <alignment horizontal="centerContinuous" vertical="center"/>
    </xf>
    <xf numFmtId="0" fontId="9" fillId="0" borderId="1" xfId="4" applyFont="1" applyAlignment="1">
      <alignment horizontal="centerContinuous" vertical="center"/>
    </xf>
    <xf numFmtId="0" fontId="10" fillId="0" borderId="1" xfId="4" applyFont="1" applyAlignment="1">
      <alignment horizontal="centerContinuous" vertical="center"/>
    </xf>
    <xf numFmtId="0" fontId="7" fillId="7" borderId="10" xfId="2" applyFont="1" applyFill="1" applyBorder="1" applyAlignment="1">
      <alignment horizontal="left" vertical="center"/>
    </xf>
    <xf numFmtId="164" fontId="7" fillId="7" borderId="11" xfId="3" applyNumberFormat="1" applyFont="1" applyFill="1" applyBorder="1" applyAlignment="1">
      <alignment vertical="center"/>
    </xf>
    <xf numFmtId="0" fontId="7" fillId="7" borderId="10" xfId="4" applyFont="1" applyFill="1" applyBorder="1" applyAlignment="1">
      <alignment vertical="center"/>
    </xf>
    <xf numFmtId="0" fontId="7" fillId="7" borderId="11" xfId="2" applyFont="1" applyFill="1" applyBorder="1" applyAlignment="1">
      <alignment horizontal="center" vertical="center"/>
    </xf>
    <xf numFmtId="43" fontId="7" fillId="7" borderId="11" xfId="3" applyFont="1" applyFill="1" applyBorder="1" applyAlignment="1">
      <alignment horizontal="right" vertical="center"/>
    </xf>
    <xf numFmtId="4" fontId="2" fillId="5" borderId="2" xfId="0" applyNumberFormat="1" applyFont="1" applyFill="1" applyBorder="1" applyAlignment="1">
      <alignment horizontal="right" vertical="center"/>
    </xf>
    <xf numFmtId="10" fontId="2" fillId="5" borderId="4" xfId="0" applyNumberFormat="1" applyFont="1" applyFill="1" applyBorder="1" applyAlignment="1">
      <alignment horizontal="right" vertical="center"/>
    </xf>
    <xf numFmtId="0" fontId="13" fillId="0" borderId="0" xfId="0" applyFont="1" applyBorder="1"/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463709</xdr:colOff>
      <xdr:row>0</xdr:row>
      <xdr:rowOff>1</xdr:rowOff>
    </xdr:from>
    <xdr:to>
      <xdr:col>5</xdr:col>
      <xdr:colOff>602074</xdr:colOff>
      <xdr:row>5</xdr:row>
      <xdr:rowOff>76201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ECBEED4-784E-4421-AC11-D59B172D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64459" y="1"/>
          <a:ext cx="1255965" cy="138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topLeftCell="A148" workbookViewId="0">
      <selection activeCell="B164" sqref="B164"/>
    </sheetView>
  </sheetViews>
  <sheetFormatPr defaultRowHeight="13.8"/>
  <cols>
    <col min="1" max="1" width="11" customWidth="1"/>
    <col min="2" max="2" width="42" customWidth="1"/>
    <col min="3" max="3" width="10" customWidth="1"/>
    <col min="4" max="4" width="12" customWidth="1"/>
    <col min="5" max="7" width="14" customWidth="1"/>
    <col min="8" max="8" width="16" customWidth="1"/>
    <col min="9" max="11" width="14" customWidth="1"/>
    <col min="12" max="12" width="16" customWidth="1"/>
    <col min="13" max="13" width="14" customWidth="1"/>
    <col min="14" max="14" width="16" customWidth="1"/>
    <col min="15" max="15" width="13" customWidth="1"/>
  </cols>
  <sheetData>
    <row r="1" spans="1:16" s="95" customFormat="1" ht="15.6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s="95" customFormat="1" ht="15.6">
      <c r="A2" s="108" t="s">
        <v>277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4"/>
    </row>
    <row r="3" spans="1:16" s="95" customFormat="1" ht="30.6">
      <c r="A3" s="109" t="s">
        <v>278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5"/>
    </row>
    <row r="4" spans="1:16" s="95" customFormat="1" ht="25.8">
      <c r="A4" s="110" t="s">
        <v>279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06"/>
    </row>
    <row r="5" spans="1:16" s="95" customFormat="1" ht="15.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4"/>
    </row>
    <row r="6" spans="1:16" s="95" customFormat="1" ht="20.399999999999999"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</row>
    <row r="7" spans="1:16" s="95" customFormat="1" ht="20.399999999999999">
      <c r="A7" s="96" t="s">
        <v>280</v>
      </c>
      <c r="B7" s="107" t="s">
        <v>281</v>
      </c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8"/>
      <c r="P7" s="99"/>
    </row>
    <row r="8" spans="1:16" s="95" customFormat="1" ht="20.399999999999999">
      <c r="A8" s="96" t="s">
        <v>282</v>
      </c>
      <c r="B8" s="97" t="s">
        <v>283</v>
      </c>
      <c r="D8" s="101"/>
      <c r="E8" s="101"/>
      <c r="F8" s="101"/>
      <c r="G8" s="101"/>
      <c r="H8" s="102"/>
      <c r="I8" s="102"/>
      <c r="J8" s="102"/>
      <c r="K8" s="102"/>
      <c r="L8" s="103"/>
      <c r="M8" s="103"/>
      <c r="N8" s="103"/>
      <c r="O8" s="103"/>
      <c r="P8" s="103"/>
    </row>
    <row r="9" spans="1:16" s="95" customFormat="1" ht="20.399999999999999">
      <c r="A9" s="100" t="s">
        <v>284</v>
      </c>
      <c r="B9" s="97" t="s">
        <v>285</v>
      </c>
    </row>
    <row r="10" spans="1:16">
      <c r="A10" s="18" t="s">
        <v>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</row>
    <row r="11" spans="1:16">
      <c r="A11" s="21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19"/>
      <c r="G11" s="20"/>
      <c r="H11" s="21" t="s">
        <v>6</v>
      </c>
      <c r="I11" s="21" t="s">
        <v>7</v>
      </c>
      <c r="J11" s="21" t="s">
        <v>8</v>
      </c>
      <c r="K11" s="21" t="s">
        <v>9</v>
      </c>
      <c r="L11" s="21" t="s">
        <v>10</v>
      </c>
      <c r="M11" s="21" t="s">
        <v>11</v>
      </c>
      <c r="N11" s="21" t="s">
        <v>12</v>
      </c>
      <c r="O11" s="21" t="s">
        <v>13</v>
      </c>
    </row>
    <row r="12" spans="1:16">
      <c r="A12" s="22"/>
      <c r="B12" s="22"/>
      <c r="C12" s="22"/>
      <c r="D12" s="22"/>
      <c r="E12" s="24" t="s">
        <v>14</v>
      </c>
      <c r="F12" s="24" t="s">
        <v>15</v>
      </c>
      <c r="G12" s="24" t="s">
        <v>16</v>
      </c>
      <c r="H12" s="22"/>
      <c r="I12" s="23"/>
      <c r="J12" s="23"/>
      <c r="K12" s="23"/>
      <c r="L12" s="22"/>
      <c r="M12" s="22"/>
      <c r="N12" s="22"/>
      <c r="O12" s="22"/>
    </row>
    <row r="13" spans="1:16" ht="14.1" thickBot="1">
      <c r="A13" s="23"/>
      <c r="B13" s="23"/>
      <c r="C13" s="23"/>
      <c r="D13" s="23"/>
      <c r="E13" s="24"/>
      <c r="F13" s="24"/>
      <c r="G13" s="24"/>
      <c r="H13" s="23"/>
      <c r="I13" s="15">
        <v>0.08</v>
      </c>
      <c r="J13" s="15">
        <v>0.08</v>
      </c>
      <c r="K13" s="15">
        <v>0.05</v>
      </c>
      <c r="L13" s="23"/>
      <c r="M13" s="23"/>
      <c r="N13" s="23"/>
      <c r="O13" s="23"/>
    </row>
    <row r="14" spans="1:16" ht="15.9" thickBot="1">
      <c r="A14" s="111" t="s">
        <v>170</v>
      </c>
      <c r="B14" s="42" t="s">
        <v>171</v>
      </c>
      <c r="C14" s="43"/>
      <c r="D14" s="44"/>
      <c r="E14" s="44"/>
      <c r="F14" s="44"/>
      <c r="G14" s="44"/>
      <c r="H14" s="12">
        <f t="shared" ref="H14:H77" si="0">IF(COUNTA($A14:$G14)=0,"",$D14*SUM($E14:$G14))</f>
        <v>0</v>
      </c>
      <c r="I14" s="12">
        <f t="shared" ref="I14:I77" si="1">IF($H14="","",$H14*$I$13)</f>
        <v>0</v>
      </c>
      <c r="J14" s="12">
        <f t="shared" ref="J14:J77" si="2">IF($H14="","",$H14*$J$13)</f>
        <v>0</v>
      </c>
      <c r="K14" s="12">
        <f t="shared" ref="K14:K77" si="3">IF($H14="","",($H14+$I14+$J14)*$K$13)</f>
        <v>0</v>
      </c>
      <c r="L14" s="12">
        <f t="shared" ref="L14:L77" si="4">IF($H14="","",SUM($I14:$K14))</f>
        <v>0</v>
      </c>
      <c r="M14" s="12" t="str">
        <f t="shared" ref="M14:M77" si="5">IFERROR($N14/$D14,"")</f>
        <v/>
      </c>
      <c r="N14" s="12">
        <f t="shared" ref="N14:N77" si="6">IF($H14="","",$H14+$L14)</f>
        <v>0</v>
      </c>
      <c r="O14" s="14">
        <f>IF(OR($N14="",$N$162=""),"",IFERROR($N14/$N$162,0))</f>
        <v>0</v>
      </c>
    </row>
    <row r="15" spans="1:16" ht="15.6">
      <c r="A15" s="26">
        <v>1</v>
      </c>
      <c r="B15" s="27" t="s">
        <v>172</v>
      </c>
      <c r="C15" s="28" t="s">
        <v>153</v>
      </c>
      <c r="D15" s="29">
        <v>1</v>
      </c>
      <c r="E15" s="30">
        <v>816000</v>
      </c>
      <c r="F15" s="30">
        <v>545940</v>
      </c>
      <c r="G15" s="30">
        <v>158000</v>
      </c>
      <c r="H15" s="12">
        <f t="shared" si="0"/>
        <v>1519940</v>
      </c>
      <c r="I15" s="12">
        <f t="shared" si="1"/>
        <v>121595.2</v>
      </c>
      <c r="J15" s="12">
        <f t="shared" si="2"/>
        <v>121595.2</v>
      </c>
      <c r="K15" s="12">
        <f t="shared" si="3"/>
        <v>88156.52</v>
      </c>
      <c r="L15" s="12">
        <f t="shared" si="4"/>
        <v>331346.92</v>
      </c>
      <c r="M15" s="12">
        <f t="shared" si="5"/>
        <v>1851286.92</v>
      </c>
      <c r="N15" s="12">
        <f t="shared" si="6"/>
        <v>1851286.92</v>
      </c>
      <c r="O15" s="14">
        <f>IF(OR($N15="",$N$162=""),"",IFERROR($N15/$N$162,0))</f>
        <v>3.3676809727596264E-3</v>
      </c>
    </row>
    <row r="16" spans="1:16" ht="15.6">
      <c r="A16" s="31">
        <v>2</v>
      </c>
      <c r="B16" s="32" t="s">
        <v>173</v>
      </c>
      <c r="C16" s="33" t="s">
        <v>153</v>
      </c>
      <c r="D16" s="34">
        <v>1</v>
      </c>
      <c r="E16" s="35">
        <v>367750</v>
      </c>
      <c r="F16" s="35">
        <v>324000</v>
      </c>
      <c r="G16" s="35">
        <v>0</v>
      </c>
      <c r="H16" s="12">
        <f t="shared" si="0"/>
        <v>691750</v>
      </c>
      <c r="I16" s="12">
        <f t="shared" si="1"/>
        <v>55340</v>
      </c>
      <c r="J16" s="12">
        <f t="shared" si="2"/>
        <v>55340</v>
      </c>
      <c r="K16" s="12">
        <f t="shared" si="3"/>
        <v>40121.5</v>
      </c>
      <c r="L16" s="12">
        <f t="shared" si="4"/>
        <v>150801.5</v>
      </c>
      <c r="M16" s="12">
        <f t="shared" si="5"/>
        <v>842551.5</v>
      </c>
      <c r="N16" s="12">
        <f t="shared" si="6"/>
        <v>842551.5</v>
      </c>
      <c r="O16" s="14">
        <f>IF(OR($N16="",$N$162=""),"",IFERROR($N16/$N$162,0))</f>
        <v>1.5326876803732198E-3</v>
      </c>
    </row>
    <row r="17" spans="1:15" ht="15.6">
      <c r="A17" s="31">
        <v>3</v>
      </c>
      <c r="B17" s="32" t="s">
        <v>174</v>
      </c>
      <c r="C17" s="33" t="s">
        <v>153</v>
      </c>
      <c r="D17" s="34">
        <v>1</v>
      </c>
      <c r="E17" s="36">
        <v>140000</v>
      </c>
      <c r="F17" s="36">
        <v>0</v>
      </c>
      <c r="G17" s="36">
        <v>0</v>
      </c>
      <c r="H17" s="12">
        <f t="shared" si="0"/>
        <v>140000</v>
      </c>
      <c r="I17" s="12">
        <f t="shared" si="1"/>
        <v>11200</v>
      </c>
      <c r="J17" s="12">
        <f t="shared" si="2"/>
        <v>11200</v>
      </c>
      <c r="K17" s="12">
        <f t="shared" si="3"/>
        <v>8120</v>
      </c>
      <c r="L17" s="12">
        <f t="shared" si="4"/>
        <v>30520</v>
      </c>
      <c r="M17" s="12">
        <f t="shared" si="5"/>
        <v>170520</v>
      </c>
      <c r="N17" s="12">
        <f t="shared" si="6"/>
        <v>170520</v>
      </c>
      <c r="O17" s="14">
        <f>IF(OR($N17="",$N$162=""),"",IFERROR($N17/$N$162,0))</f>
        <v>3.1019338670365131E-4</v>
      </c>
    </row>
    <row r="18" spans="1:15" ht="15.6">
      <c r="A18" s="31">
        <v>4</v>
      </c>
      <c r="B18" s="32" t="s">
        <v>175</v>
      </c>
      <c r="C18" s="33" t="s">
        <v>153</v>
      </c>
      <c r="D18" s="34">
        <v>1</v>
      </c>
      <c r="E18" s="36">
        <v>525552.30000000005</v>
      </c>
      <c r="F18" s="36">
        <v>0</v>
      </c>
      <c r="G18" s="36">
        <v>0</v>
      </c>
      <c r="H18" s="12">
        <f t="shared" si="0"/>
        <v>525552.30000000005</v>
      </c>
      <c r="I18" s="12">
        <f t="shared" si="1"/>
        <v>42044.184000000001</v>
      </c>
      <c r="J18" s="12">
        <f t="shared" si="2"/>
        <v>42044.184000000001</v>
      </c>
      <c r="K18" s="12">
        <f t="shared" si="3"/>
        <v>30482.033400000004</v>
      </c>
      <c r="L18" s="12">
        <f t="shared" si="4"/>
        <v>114570.4014</v>
      </c>
      <c r="M18" s="12">
        <f t="shared" si="5"/>
        <v>640122.70140000002</v>
      </c>
      <c r="N18" s="12">
        <f t="shared" si="6"/>
        <v>640122.70140000002</v>
      </c>
      <c r="O18" s="14">
        <f>IF(OR($N18="",$N$162=""),"",IFERROR($N18/$N$162,0))</f>
        <v>1.1644489130492382E-3</v>
      </c>
    </row>
    <row r="19" spans="1:15" ht="15.6">
      <c r="A19" s="31">
        <v>5</v>
      </c>
      <c r="B19" s="32" t="s">
        <v>176</v>
      </c>
      <c r="C19" s="33" t="s">
        <v>153</v>
      </c>
      <c r="D19" s="34">
        <v>1</v>
      </c>
      <c r="E19" s="36">
        <v>450000</v>
      </c>
      <c r="F19" s="36">
        <v>0</v>
      </c>
      <c r="G19" s="36">
        <v>0</v>
      </c>
      <c r="H19" s="12">
        <f t="shared" si="0"/>
        <v>450000</v>
      </c>
      <c r="I19" s="12">
        <f t="shared" si="1"/>
        <v>36000</v>
      </c>
      <c r="J19" s="12">
        <f t="shared" si="2"/>
        <v>36000</v>
      </c>
      <c r="K19" s="12">
        <f t="shared" si="3"/>
        <v>26100</v>
      </c>
      <c r="L19" s="12">
        <f t="shared" si="4"/>
        <v>98100</v>
      </c>
      <c r="M19" s="12">
        <f t="shared" si="5"/>
        <v>548100</v>
      </c>
      <c r="N19" s="12">
        <f t="shared" si="6"/>
        <v>548100</v>
      </c>
      <c r="O19" s="14">
        <f>IF(OR($N19="",$N$162=""),"",IFERROR($N19/$N$162,0))</f>
        <v>9.9705017154745048E-4</v>
      </c>
    </row>
    <row r="20" spans="1:15" ht="15.9" thickBot="1">
      <c r="A20" s="37">
        <v>6</v>
      </c>
      <c r="B20" s="38" t="s">
        <v>177</v>
      </c>
      <c r="C20" s="39" t="s">
        <v>153</v>
      </c>
      <c r="D20" s="40">
        <v>1</v>
      </c>
      <c r="E20" s="41">
        <v>2100000</v>
      </c>
      <c r="F20" s="41">
        <v>0</v>
      </c>
      <c r="G20" s="41">
        <v>0</v>
      </c>
      <c r="H20" s="12">
        <f t="shared" si="0"/>
        <v>2100000</v>
      </c>
      <c r="I20" s="12">
        <f t="shared" si="1"/>
        <v>168000</v>
      </c>
      <c r="J20" s="12">
        <f t="shared" si="2"/>
        <v>168000</v>
      </c>
      <c r="K20" s="12">
        <f t="shared" si="3"/>
        <v>121800</v>
      </c>
      <c r="L20" s="12">
        <f t="shared" si="4"/>
        <v>457800</v>
      </c>
      <c r="M20" s="12">
        <f t="shared" si="5"/>
        <v>2557800</v>
      </c>
      <c r="N20" s="12">
        <f t="shared" si="6"/>
        <v>2557800</v>
      </c>
      <c r="O20" s="14">
        <f>IF(OR($N20="",$N$162=""),"",IFERROR($N20/$N$162,0))</f>
        <v>4.6529008005547689E-3</v>
      </c>
    </row>
    <row r="21" spans="1:15" ht="15.9" thickBot="1">
      <c r="A21" s="42" t="s">
        <v>178</v>
      </c>
      <c r="B21" s="42" t="s">
        <v>179</v>
      </c>
      <c r="C21" s="43"/>
      <c r="D21" s="44"/>
      <c r="E21" s="44"/>
      <c r="F21" s="44"/>
      <c r="G21" s="44"/>
      <c r="H21" s="12">
        <f t="shared" si="0"/>
        <v>0</v>
      </c>
      <c r="I21" s="12">
        <f t="shared" si="1"/>
        <v>0</v>
      </c>
      <c r="J21" s="12">
        <f t="shared" si="2"/>
        <v>0</v>
      </c>
      <c r="K21" s="12">
        <f t="shared" si="3"/>
        <v>0</v>
      </c>
      <c r="L21" s="12">
        <f t="shared" si="4"/>
        <v>0</v>
      </c>
      <c r="M21" s="12" t="str">
        <f t="shared" si="5"/>
        <v/>
      </c>
      <c r="N21" s="12">
        <f t="shared" si="6"/>
        <v>0</v>
      </c>
      <c r="O21" s="14">
        <f>IF(OR($N21="",$N$162=""),"",IFERROR($N21/$N$162,0))</f>
        <v>0</v>
      </c>
    </row>
    <row r="22" spans="1:15" ht="15.6">
      <c r="A22" s="45">
        <v>1</v>
      </c>
      <c r="B22" s="46" t="s">
        <v>180</v>
      </c>
      <c r="C22" s="47" t="s">
        <v>165</v>
      </c>
      <c r="D22" s="29">
        <v>4016.2049999999999</v>
      </c>
      <c r="E22" s="29">
        <v>0</v>
      </c>
      <c r="F22" s="29">
        <v>22.103951367024344</v>
      </c>
      <c r="G22" s="29">
        <v>148.14980808997549</v>
      </c>
      <c r="H22" s="12">
        <f t="shared" si="0"/>
        <v>683774</v>
      </c>
      <c r="I22" s="12">
        <f t="shared" si="1"/>
        <v>54701.919999999998</v>
      </c>
      <c r="J22" s="12">
        <f t="shared" si="2"/>
        <v>54701.919999999998</v>
      </c>
      <c r="K22" s="12">
        <f t="shared" si="3"/>
        <v>39658.892000000007</v>
      </c>
      <c r="L22" s="12">
        <f t="shared" si="4"/>
        <v>149062.73200000002</v>
      </c>
      <c r="M22" s="12">
        <f t="shared" si="5"/>
        <v>207.36907901862583</v>
      </c>
      <c r="N22" s="12">
        <f t="shared" si="6"/>
        <v>832836.73200000008</v>
      </c>
      <c r="O22" s="14">
        <f>IF(OR($N22="",$N$162=""),"",IFERROR($N22/$N$162,0))</f>
        <v>1.5150155199993034E-3</v>
      </c>
    </row>
    <row r="23" spans="1:15" ht="15.6">
      <c r="A23" s="45">
        <v>2</v>
      </c>
      <c r="B23" s="48" t="s">
        <v>181</v>
      </c>
      <c r="C23" s="47" t="s">
        <v>165</v>
      </c>
      <c r="D23" s="34">
        <v>3226.4866000000002</v>
      </c>
      <c r="E23" s="34">
        <v>0</v>
      </c>
      <c r="F23" s="49">
        <v>32.369575004588583</v>
      </c>
      <c r="G23" s="34">
        <v>211.37543233559376</v>
      </c>
      <c r="H23" s="12">
        <f t="shared" si="0"/>
        <v>786440</v>
      </c>
      <c r="I23" s="12">
        <f t="shared" si="1"/>
        <v>62915.200000000004</v>
      </c>
      <c r="J23" s="12">
        <f t="shared" si="2"/>
        <v>62915.200000000004</v>
      </c>
      <c r="K23" s="12">
        <f t="shared" si="3"/>
        <v>45613.52</v>
      </c>
      <c r="L23" s="12">
        <f t="shared" si="4"/>
        <v>171443.92</v>
      </c>
      <c r="M23" s="12">
        <f t="shared" si="5"/>
        <v>296.88141894034209</v>
      </c>
      <c r="N23" s="12">
        <f t="shared" si="6"/>
        <v>957883.92</v>
      </c>
      <c r="O23" s="14">
        <f>IF(OR($N23="",$N$162=""),"",IFERROR($N23/$N$162,0))</f>
        <v>1.7424891931372823E-3</v>
      </c>
    </row>
    <row r="24" spans="1:15" ht="15.6">
      <c r="A24" s="45">
        <v>3</v>
      </c>
      <c r="B24" s="48" t="s">
        <v>182</v>
      </c>
      <c r="C24" s="47" t="s">
        <v>165</v>
      </c>
      <c r="D24" s="34">
        <v>870.00392999999997</v>
      </c>
      <c r="E24" s="34">
        <v>1150</v>
      </c>
      <c r="F24" s="49">
        <v>18.006815210593359</v>
      </c>
      <c r="G24" s="34">
        <v>124.13737027601704</v>
      </c>
      <c r="H24" s="12">
        <f t="shared" si="0"/>
        <v>1124170.5194999999</v>
      </c>
      <c r="I24" s="12">
        <f t="shared" si="1"/>
        <v>89933.641560000004</v>
      </c>
      <c r="J24" s="12">
        <f t="shared" si="2"/>
        <v>89933.641560000004</v>
      </c>
      <c r="K24" s="12">
        <f t="shared" si="3"/>
        <v>65201.890130999993</v>
      </c>
      <c r="L24" s="12">
        <f t="shared" si="4"/>
        <v>245069.173251</v>
      </c>
      <c r="M24" s="12">
        <f t="shared" si="5"/>
        <v>1573.8316179226915</v>
      </c>
      <c r="N24" s="12">
        <f t="shared" si="6"/>
        <v>1369239.6927509999</v>
      </c>
      <c r="O24" s="14">
        <f>IF(OR($N24="",$N$162=""),"",IFERROR($N24/$N$162,0))</f>
        <v>2.4907875762579146E-3</v>
      </c>
    </row>
    <row r="25" spans="1:15" ht="15.6">
      <c r="A25" s="45">
        <v>4</v>
      </c>
      <c r="B25" s="48" t="s">
        <v>183</v>
      </c>
      <c r="C25" s="47" t="s">
        <v>165</v>
      </c>
      <c r="D25" s="34">
        <v>1598.20263</v>
      </c>
      <c r="E25" s="34">
        <v>659.99999999999989</v>
      </c>
      <c r="F25" s="49">
        <v>19.221592696290333</v>
      </c>
      <c r="G25" s="34">
        <v>112.62651970482617</v>
      </c>
      <c r="H25" s="12">
        <f t="shared" si="0"/>
        <v>1265533.7357999999</v>
      </c>
      <c r="I25" s="12">
        <f t="shared" si="1"/>
        <v>101242.69886399999</v>
      </c>
      <c r="J25" s="12">
        <f t="shared" si="2"/>
        <v>101242.69886399999</v>
      </c>
      <c r="K25" s="12">
        <f t="shared" si="3"/>
        <v>73400.95667639999</v>
      </c>
      <c r="L25" s="12">
        <f t="shared" si="4"/>
        <v>275886.35440439999</v>
      </c>
      <c r="M25" s="12">
        <f t="shared" si="5"/>
        <v>964.4710009045599</v>
      </c>
      <c r="N25" s="12">
        <f t="shared" si="6"/>
        <v>1541420.0902044</v>
      </c>
      <c r="O25" s="14">
        <f>IF(OR($N25="",$N$162=""),"",IFERROR($N25/$N$162,0))</f>
        <v>2.8040013963966134E-3</v>
      </c>
    </row>
    <row r="26" spans="1:15" ht="15.9" thickBot="1">
      <c r="A26" s="50">
        <v>5</v>
      </c>
      <c r="B26" s="51" t="s">
        <v>184</v>
      </c>
      <c r="C26" s="52" t="s">
        <v>185</v>
      </c>
      <c r="D26" s="53">
        <v>581</v>
      </c>
      <c r="E26" s="53">
        <v>160</v>
      </c>
      <c r="F26" s="54">
        <v>0</v>
      </c>
      <c r="G26" s="53">
        <v>0</v>
      </c>
      <c r="H26" s="12">
        <f t="shared" si="0"/>
        <v>92960</v>
      </c>
      <c r="I26" s="12">
        <f t="shared" si="1"/>
        <v>7436.8</v>
      </c>
      <c r="J26" s="12">
        <f t="shared" si="2"/>
        <v>7436.8</v>
      </c>
      <c r="K26" s="12">
        <f t="shared" si="3"/>
        <v>5391.68</v>
      </c>
      <c r="L26" s="12">
        <f t="shared" si="4"/>
        <v>20265.28</v>
      </c>
      <c r="M26" s="12">
        <f t="shared" si="5"/>
        <v>194.88</v>
      </c>
      <c r="N26" s="12">
        <f t="shared" si="6"/>
        <v>113225.28</v>
      </c>
      <c r="O26" s="14">
        <f>IF(OR($N26="",$N$162=""),"",IFERROR($N26/$N$162,0))</f>
        <v>2.0596840877122445E-4</v>
      </c>
    </row>
    <row r="27" spans="1:15" s="118" customFormat="1" ht="15.9" thickBot="1">
      <c r="A27" s="112" t="s">
        <v>286</v>
      </c>
      <c r="B27" s="113" t="s">
        <v>186</v>
      </c>
      <c r="C27" s="114"/>
      <c r="D27" s="115"/>
      <c r="E27" s="115"/>
      <c r="F27" s="115"/>
      <c r="G27" s="115"/>
      <c r="H27" s="116">
        <f t="shared" si="0"/>
        <v>0</v>
      </c>
      <c r="I27" s="116">
        <f t="shared" si="1"/>
        <v>0</v>
      </c>
      <c r="J27" s="116">
        <f t="shared" si="2"/>
        <v>0</v>
      </c>
      <c r="K27" s="116">
        <f t="shared" si="3"/>
        <v>0</v>
      </c>
      <c r="L27" s="116">
        <f t="shared" si="4"/>
        <v>0</v>
      </c>
      <c r="M27" s="116" t="str">
        <f t="shared" si="5"/>
        <v/>
      </c>
      <c r="N27" s="116">
        <f t="shared" si="6"/>
        <v>0</v>
      </c>
      <c r="O27" s="117">
        <f>IF(OR($N27="",$N$162=""),"",IFERROR($N27/$N$162,0))</f>
        <v>0</v>
      </c>
    </row>
    <row r="28" spans="1:15" ht="15.9" thickBot="1">
      <c r="A28" s="56">
        <v>1</v>
      </c>
      <c r="B28" s="57" t="s">
        <v>187</v>
      </c>
      <c r="C28" s="58" t="s">
        <v>188</v>
      </c>
      <c r="D28" s="34">
        <v>2464.8845460000002</v>
      </c>
      <c r="E28" s="34">
        <v>5200.2435654850342</v>
      </c>
      <c r="F28" s="34">
        <v>823.7903082702843</v>
      </c>
      <c r="G28" s="34">
        <v>268.97811545612245</v>
      </c>
      <c r="H28" s="12">
        <f t="shared" si="0"/>
        <v>15511548</v>
      </c>
      <c r="I28" s="12">
        <f t="shared" si="1"/>
        <v>1240923.8400000001</v>
      </c>
      <c r="J28" s="12">
        <f t="shared" si="2"/>
        <v>1240923.8400000001</v>
      </c>
      <c r="K28" s="12">
        <f t="shared" si="3"/>
        <v>899669.78399999999</v>
      </c>
      <c r="L28" s="12">
        <f t="shared" si="4"/>
        <v>3381517.4640000002</v>
      </c>
      <c r="M28" s="12">
        <f t="shared" si="5"/>
        <v>7664.8886028595352</v>
      </c>
      <c r="N28" s="12">
        <f t="shared" si="6"/>
        <v>18893065.464000002</v>
      </c>
      <c r="O28" s="14">
        <f>IF(OR($N28="",$N$162=""),"",IFERROR($N28/$N$162,0))</f>
        <v>3.436842576525892E-2</v>
      </c>
    </row>
    <row r="29" spans="1:15" s="118" customFormat="1" ht="15.9" thickBot="1">
      <c r="A29" s="42" t="s">
        <v>287</v>
      </c>
      <c r="B29" s="113" t="s">
        <v>189</v>
      </c>
      <c r="C29" s="114"/>
      <c r="D29" s="115"/>
      <c r="E29" s="115"/>
      <c r="F29" s="115"/>
      <c r="G29" s="115"/>
      <c r="H29" s="116">
        <f t="shared" si="0"/>
        <v>0</v>
      </c>
      <c r="I29" s="116">
        <f t="shared" si="1"/>
        <v>0</v>
      </c>
      <c r="J29" s="116">
        <f t="shared" si="2"/>
        <v>0</v>
      </c>
      <c r="K29" s="116">
        <f t="shared" si="3"/>
        <v>0</v>
      </c>
      <c r="L29" s="116">
        <f t="shared" si="4"/>
        <v>0</v>
      </c>
      <c r="M29" s="116" t="str">
        <f t="shared" si="5"/>
        <v/>
      </c>
      <c r="N29" s="116">
        <f t="shared" si="6"/>
        <v>0</v>
      </c>
      <c r="O29" s="117">
        <f>IF(OR($N29="",$N$162=""),"",IFERROR($N29/$N$162,0))</f>
        <v>0</v>
      </c>
    </row>
    <row r="30" spans="1:15" ht="15.9" thickBot="1">
      <c r="A30" s="56">
        <v>1</v>
      </c>
      <c r="B30" s="57" t="s">
        <v>189</v>
      </c>
      <c r="C30" s="47" t="s">
        <v>190</v>
      </c>
      <c r="D30" s="29">
        <v>470437.09765500005</v>
      </c>
      <c r="E30" s="59">
        <v>66</v>
      </c>
      <c r="F30" s="59">
        <v>5.8411039726615703</v>
      </c>
      <c r="G30" s="59">
        <v>2.193704546567941</v>
      </c>
      <c r="H30" s="12">
        <f t="shared" si="0"/>
        <v>34828720.445230007</v>
      </c>
      <c r="I30" s="12">
        <f t="shared" si="1"/>
        <v>2786297.6356184008</v>
      </c>
      <c r="J30" s="12">
        <f t="shared" si="2"/>
        <v>2786297.6356184008</v>
      </c>
      <c r="K30" s="12">
        <f t="shared" si="3"/>
        <v>2020065.7858233408</v>
      </c>
      <c r="L30" s="12">
        <f t="shared" si="4"/>
        <v>7592661.057060142</v>
      </c>
      <c r="M30" s="12">
        <f t="shared" si="5"/>
        <v>90.17439677642156</v>
      </c>
      <c r="N30" s="12">
        <f t="shared" si="6"/>
        <v>42421381.502290152</v>
      </c>
      <c r="O30" s="14">
        <f>IF(OR($N30="",$N$162=""),"",IFERROR($N30/$N$162,0))</f>
        <v>7.716884821043285E-2</v>
      </c>
    </row>
    <row r="31" spans="1:15" ht="15.9" thickBot="1">
      <c r="A31" s="42" t="s">
        <v>288</v>
      </c>
      <c r="B31" s="55" t="s">
        <v>191</v>
      </c>
      <c r="C31" s="43"/>
      <c r="D31" s="44"/>
      <c r="E31" s="44"/>
      <c r="F31" s="44"/>
      <c r="G31" s="44"/>
      <c r="H31" s="12">
        <f t="shared" si="0"/>
        <v>0</v>
      </c>
      <c r="I31" s="12">
        <f t="shared" si="1"/>
        <v>0</v>
      </c>
      <c r="J31" s="12">
        <f t="shared" si="2"/>
        <v>0</v>
      </c>
      <c r="K31" s="12">
        <f t="shared" si="3"/>
        <v>0</v>
      </c>
      <c r="L31" s="12">
        <f t="shared" si="4"/>
        <v>0</v>
      </c>
      <c r="M31" s="12" t="str">
        <f t="shared" si="5"/>
        <v/>
      </c>
      <c r="N31" s="12">
        <f t="shared" si="6"/>
        <v>0</v>
      </c>
      <c r="O31" s="14">
        <f>IF(OR($N31="",$N$162=""),"",IFERROR($N31/$N$162,0))</f>
        <v>0</v>
      </c>
    </row>
    <row r="32" spans="1:15" ht="15.9" thickBot="1">
      <c r="A32" s="56">
        <v>1</v>
      </c>
      <c r="B32" s="57" t="s">
        <v>192</v>
      </c>
      <c r="C32" s="47" t="s">
        <v>193</v>
      </c>
      <c r="D32" s="29">
        <v>3636.3119999999999</v>
      </c>
      <c r="E32" s="59">
        <v>450</v>
      </c>
      <c r="F32" s="59">
        <v>298.15483379863997</v>
      </c>
      <c r="G32" s="59">
        <v>0</v>
      </c>
      <c r="H32" s="12">
        <f t="shared" si="0"/>
        <v>2720524.4</v>
      </c>
      <c r="I32" s="12">
        <f t="shared" si="1"/>
        <v>217641.95199999999</v>
      </c>
      <c r="J32" s="12">
        <f t="shared" si="2"/>
        <v>217641.95199999999</v>
      </c>
      <c r="K32" s="12">
        <f t="shared" si="3"/>
        <v>157790.41520000002</v>
      </c>
      <c r="L32" s="12">
        <f t="shared" si="4"/>
        <v>593074.31920000003</v>
      </c>
      <c r="M32" s="12">
        <f t="shared" si="5"/>
        <v>911.2525875667435</v>
      </c>
      <c r="N32" s="12">
        <f t="shared" si="6"/>
        <v>3313598.7192000002</v>
      </c>
      <c r="O32" s="14">
        <f>IF(OR($N32="",$N$162=""),"",IFERROR($N32/$N$162,0))</f>
        <v>6.0277762660422779E-3</v>
      </c>
    </row>
    <row r="33" spans="1:15" ht="15.9" thickBot="1">
      <c r="A33" s="42" t="s">
        <v>289</v>
      </c>
      <c r="B33" s="55" t="s">
        <v>194</v>
      </c>
      <c r="C33" s="43"/>
      <c r="D33" s="44"/>
      <c r="E33" s="44"/>
      <c r="F33" s="44"/>
      <c r="G33" s="44"/>
      <c r="H33" s="12">
        <f t="shared" si="0"/>
        <v>0</v>
      </c>
      <c r="I33" s="12">
        <f t="shared" si="1"/>
        <v>0</v>
      </c>
      <c r="J33" s="12">
        <f t="shared" si="2"/>
        <v>0</v>
      </c>
      <c r="K33" s="12">
        <f t="shared" si="3"/>
        <v>0</v>
      </c>
      <c r="L33" s="12">
        <f t="shared" si="4"/>
        <v>0</v>
      </c>
      <c r="M33" s="12" t="str">
        <f t="shared" si="5"/>
        <v/>
      </c>
      <c r="N33" s="12">
        <f t="shared" si="6"/>
        <v>0</v>
      </c>
      <c r="O33" s="14">
        <f>IF(OR($N33="",$N$162=""),"",IFERROR($N33/$N$162,0))</f>
        <v>0</v>
      </c>
    </row>
    <row r="34" spans="1:15" ht="15.9" thickBot="1">
      <c r="A34" s="60">
        <v>1</v>
      </c>
      <c r="B34" s="61" t="s">
        <v>195</v>
      </c>
      <c r="C34" s="62" t="s">
        <v>196</v>
      </c>
      <c r="D34" s="63">
        <v>863268.8</v>
      </c>
      <c r="E34" s="59">
        <v>111.75711491021104</v>
      </c>
      <c r="F34" s="59">
        <v>24.98724035897046</v>
      </c>
      <c r="G34" s="59">
        <v>11.977428119723543</v>
      </c>
      <c r="H34" s="12">
        <f t="shared" si="0"/>
        <v>128386875.48000002</v>
      </c>
      <c r="I34" s="12">
        <f t="shared" si="1"/>
        <v>10270950.038400002</v>
      </c>
      <c r="J34" s="12">
        <f t="shared" si="2"/>
        <v>10270950.038400002</v>
      </c>
      <c r="K34" s="12">
        <f t="shared" si="3"/>
        <v>7446438.7778400006</v>
      </c>
      <c r="L34" s="12">
        <f t="shared" si="4"/>
        <v>27988338.854640003</v>
      </c>
      <c r="M34" s="12">
        <f t="shared" si="5"/>
        <v>181.14313216768639</v>
      </c>
      <c r="N34" s="12">
        <f t="shared" si="6"/>
        <v>156375214.33464003</v>
      </c>
      <c r="O34" s="14">
        <f>IF(OR($N34="",$N$162=""),"",IFERROR($N34/$N$162,0))</f>
        <v>0.28446256938172265</v>
      </c>
    </row>
    <row r="35" spans="1:15" ht="15.9" thickBot="1">
      <c r="A35" s="42" t="s">
        <v>290</v>
      </c>
      <c r="B35" s="55" t="s">
        <v>197</v>
      </c>
      <c r="C35" s="43"/>
      <c r="D35" s="44"/>
      <c r="E35" s="44"/>
      <c r="F35" s="44"/>
      <c r="G35" s="44"/>
      <c r="H35" s="12">
        <f t="shared" si="0"/>
        <v>0</v>
      </c>
      <c r="I35" s="12">
        <f t="shared" si="1"/>
        <v>0</v>
      </c>
      <c r="J35" s="12">
        <f t="shared" si="2"/>
        <v>0</v>
      </c>
      <c r="K35" s="12">
        <f t="shared" si="3"/>
        <v>0</v>
      </c>
      <c r="L35" s="12">
        <f t="shared" si="4"/>
        <v>0</v>
      </c>
      <c r="M35" s="12" t="str">
        <f t="shared" si="5"/>
        <v/>
      </c>
      <c r="N35" s="12">
        <f t="shared" si="6"/>
        <v>0</v>
      </c>
      <c r="O35" s="14">
        <f>IF(OR($N35="",$N$162=""),"",IFERROR($N35/$N$162,0))</f>
        <v>0</v>
      </c>
    </row>
    <row r="36" spans="1:15" ht="15.6">
      <c r="A36" s="56">
        <v>1</v>
      </c>
      <c r="B36" s="64" t="s">
        <v>198</v>
      </c>
      <c r="C36" s="58" t="s">
        <v>164</v>
      </c>
      <c r="D36" s="34">
        <v>4791.0106000000005</v>
      </c>
      <c r="E36" s="34">
        <v>714.42933702815014</v>
      </c>
      <c r="F36" s="34">
        <v>219.2908944931159</v>
      </c>
      <c r="G36" s="29">
        <v>78.271586374699311</v>
      </c>
      <c r="H36" s="12">
        <f t="shared" si="0"/>
        <v>4848463.52665284</v>
      </c>
      <c r="I36" s="12">
        <f t="shared" si="1"/>
        <v>387877.08213222719</v>
      </c>
      <c r="J36" s="12">
        <f t="shared" si="2"/>
        <v>387877.08213222719</v>
      </c>
      <c r="K36" s="12">
        <f t="shared" si="3"/>
        <v>281210.88454586471</v>
      </c>
      <c r="L36" s="12">
        <f t="shared" si="4"/>
        <v>1056965.048810319</v>
      </c>
      <c r="M36" s="12">
        <f t="shared" si="5"/>
        <v>1232.6060341972857</v>
      </c>
      <c r="N36" s="12">
        <f t="shared" si="6"/>
        <v>5905428.575463159</v>
      </c>
      <c r="O36" s="14">
        <f>IF(OR($N36="",$N$162=""),"",IFERROR($N36/$N$162,0))</f>
        <v>1.074258086886838E-2</v>
      </c>
    </row>
    <row r="37" spans="1:15" ht="15.6">
      <c r="A37" s="56">
        <v>2</v>
      </c>
      <c r="B37" s="64" t="s">
        <v>199</v>
      </c>
      <c r="C37" s="58" t="s">
        <v>164</v>
      </c>
      <c r="D37" s="34">
        <v>6966.5560000000005</v>
      </c>
      <c r="E37" s="65">
        <v>511.28549444781601</v>
      </c>
      <c r="F37" s="65">
        <v>219.57908613667928</v>
      </c>
      <c r="G37" s="65">
        <v>78.374450732901593</v>
      </c>
      <c r="H37" s="12">
        <f t="shared" si="0"/>
        <v>5637609.0290583996</v>
      </c>
      <c r="I37" s="12">
        <f t="shared" si="1"/>
        <v>451008.72232467198</v>
      </c>
      <c r="J37" s="12">
        <f t="shared" si="2"/>
        <v>451008.72232467198</v>
      </c>
      <c r="K37" s="12">
        <f t="shared" si="3"/>
        <v>326981.32368538721</v>
      </c>
      <c r="L37" s="12">
        <f t="shared" si="4"/>
        <v>1228998.7683347312</v>
      </c>
      <c r="M37" s="12">
        <f t="shared" si="5"/>
        <v>985.65314014458943</v>
      </c>
      <c r="N37" s="12">
        <f t="shared" si="6"/>
        <v>6866607.7973931311</v>
      </c>
      <c r="O37" s="14">
        <f>IF(OR($N37="",$N$162=""),"",IFERROR($N37/$N$162,0))</f>
        <v>1.249106455453363E-2</v>
      </c>
    </row>
    <row r="38" spans="1:15" ht="15.6">
      <c r="A38" s="56">
        <v>3</v>
      </c>
      <c r="B38" s="64" t="s">
        <v>200</v>
      </c>
      <c r="C38" s="58" t="s">
        <v>164</v>
      </c>
      <c r="D38" s="34">
        <v>1846.6439999999996</v>
      </c>
      <c r="E38" s="65">
        <v>712.63676160646014</v>
      </c>
      <c r="F38" s="65">
        <v>200.26599604471684</v>
      </c>
      <c r="G38" s="65">
        <v>6.4982747080650105</v>
      </c>
      <c r="H38" s="12">
        <f t="shared" si="0"/>
        <v>1697806.3999999997</v>
      </c>
      <c r="I38" s="12">
        <f t="shared" si="1"/>
        <v>135824.51199999999</v>
      </c>
      <c r="J38" s="12">
        <f t="shared" si="2"/>
        <v>135824.51199999999</v>
      </c>
      <c r="K38" s="12">
        <f t="shared" si="3"/>
        <v>98472.771199999988</v>
      </c>
      <c r="L38" s="12">
        <f t="shared" si="4"/>
        <v>370121.79519999993</v>
      </c>
      <c r="M38" s="12">
        <f t="shared" si="5"/>
        <v>1119.8304574135566</v>
      </c>
      <c r="N38" s="12">
        <f t="shared" si="6"/>
        <v>2067928.1951999995</v>
      </c>
      <c r="O38" s="14">
        <f>IF(OR($N38="",$N$162=""),"",IFERROR($N38/$N$162,0))</f>
        <v>3.7617736941652422E-3</v>
      </c>
    </row>
    <row r="39" spans="1:15" ht="15.9" thickBot="1">
      <c r="A39" s="66">
        <v>4</v>
      </c>
      <c r="B39" s="67" t="s">
        <v>201</v>
      </c>
      <c r="C39" s="68" t="s">
        <v>164</v>
      </c>
      <c r="D39" s="69">
        <v>23515.133200000004</v>
      </c>
      <c r="E39" s="70">
        <v>112.53391496842551</v>
      </c>
      <c r="F39" s="70">
        <v>222.78113227953133</v>
      </c>
      <c r="G39" s="70">
        <v>60.216541745976578</v>
      </c>
      <c r="H39" s="12">
        <f t="shared" si="0"/>
        <v>9300978</v>
      </c>
      <c r="I39" s="12">
        <f t="shared" si="1"/>
        <v>744078.24</v>
      </c>
      <c r="J39" s="12">
        <f t="shared" si="2"/>
        <v>744078.24</v>
      </c>
      <c r="K39" s="12">
        <f t="shared" si="3"/>
        <v>539456.72400000005</v>
      </c>
      <c r="L39" s="12">
        <f t="shared" si="4"/>
        <v>2027613.2039999999</v>
      </c>
      <c r="M39" s="12">
        <f t="shared" si="5"/>
        <v>481.75747539461094</v>
      </c>
      <c r="N39" s="12">
        <f t="shared" si="6"/>
        <v>11328591.204</v>
      </c>
      <c r="O39" s="14">
        <f>IF(OR($N39="",$N$162=""),"",IFERROR($N39/$N$162,0))</f>
        <v>2.0607870467686806E-2</v>
      </c>
    </row>
    <row r="40" spans="1:15" ht="15.9" thickBot="1">
      <c r="A40" s="42" t="s">
        <v>291</v>
      </c>
      <c r="B40" s="71" t="s">
        <v>202</v>
      </c>
      <c r="C40" s="43"/>
      <c r="D40" s="44"/>
      <c r="E40" s="44"/>
      <c r="F40" s="44"/>
      <c r="G40" s="44"/>
      <c r="H40" s="12">
        <f t="shared" si="0"/>
        <v>0</v>
      </c>
      <c r="I40" s="12">
        <f t="shared" si="1"/>
        <v>0</v>
      </c>
      <c r="J40" s="12">
        <f t="shared" si="2"/>
        <v>0</v>
      </c>
      <c r="K40" s="12">
        <f t="shared" si="3"/>
        <v>0</v>
      </c>
      <c r="L40" s="12">
        <f t="shared" si="4"/>
        <v>0</v>
      </c>
      <c r="M40" s="12" t="str">
        <f t="shared" si="5"/>
        <v/>
      </c>
      <c r="N40" s="12">
        <f t="shared" si="6"/>
        <v>0</v>
      </c>
      <c r="O40" s="14">
        <f>IF(OR($N40="",$N$162=""),"",IFERROR($N40/$N$162,0))</f>
        <v>0</v>
      </c>
    </row>
    <row r="41" spans="1:15" ht="15.6">
      <c r="A41" s="45">
        <v>1</v>
      </c>
      <c r="B41" s="72" t="s">
        <v>203</v>
      </c>
      <c r="C41" s="47" t="s">
        <v>193</v>
      </c>
      <c r="D41" s="29">
        <v>6731.36</v>
      </c>
      <c r="E41" s="73">
        <v>965.17197119155719</v>
      </c>
      <c r="F41" s="73">
        <v>199.18619714292507</v>
      </c>
      <c r="G41" s="29">
        <v>0</v>
      </c>
      <c r="H41" s="12">
        <f t="shared" si="0"/>
        <v>7837714.0000000009</v>
      </c>
      <c r="I41" s="12">
        <f t="shared" si="1"/>
        <v>627017.12000000011</v>
      </c>
      <c r="J41" s="12">
        <f t="shared" si="2"/>
        <v>627017.12000000011</v>
      </c>
      <c r="K41" s="12">
        <f t="shared" si="3"/>
        <v>454587.41200000013</v>
      </c>
      <c r="L41" s="12">
        <f t="shared" si="4"/>
        <v>1708621.6520000002</v>
      </c>
      <c r="M41" s="12">
        <f t="shared" si="5"/>
        <v>1418.1882490313994</v>
      </c>
      <c r="N41" s="12">
        <f t="shared" si="6"/>
        <v>9546335.6520000007</v>
      </c>
      <c r="O41" s="14">
        <f>IF(OR($N41="",$N$162=""),"",IFERROR($N41/$N$162,0))</f>
        <v>1.7365764640533011E-2</v>
      </c>
    </row>
    <row r="42" spans="1:15" ht="15.6">
      <c r="A42" s="45">
        <v>2</v>
      </c>
      <c r="B42" s="72" t="s">
        <v>204</v>
      </c>
      <c r="C42" s="58" t="s">
        <v>193</v>
      </c>
      <c r="D42" s="29">
        <v>984.54</v>
      </c>
      <c r="E42" s="65">
        <v>2300</v>
      </c>
      <c r="F42" s="65">
        <v>205.56198833973227</v>
      </c>
      <c r="G42" s="65">
        <v>0</v>
      </c>
      <c r="H42" s="12">
        <f t="shared" si="0"/>
        <v>2466826</v>
      </c>
      <c r="I42" s="12">
        <f t="shared" si="1"/>
        <v>197346.08000000002</v>
      </c>
      <c r="J42" s="12">
        <f t="shared" si="2"/>
        <v>197346.08000000002</v>
      </c>
      <c r="K42" s="12">
        <f t="shared" si="3"/>
        <v>143075.90800000002</v>
      </c>
      <c r="L42" s="12">
        <f t="shared" si="4"/>
        <v>537768.06800000009</v>
      </c>
      <c r="M42" s="12">
        <f t="shared" si="5"/>
        <v>3051.7745017977941</v>
      </c>
      <c r="N42" s="12">
        <f t="shared" si="6"/>
        <v>3004594.068</v>
      </c>
      <c r="O42" s="14">
        <f>IF(OR($N42="",$N$162=""),"",IFERROR($N42/$N$162,0))</f>
        <v>5.4656650810615808E-3</v>
      </c>
    </row>
    <row r="43" spans="1:15" ht="15.6">
      <c r="A43" s="56">
        <v>3</v>
      </c>
      <c r="B43" s="64" t="s">
        <v>205</v>
      </c>
      <c r="C43" s="58" t="s">
        <v>193</v>
      </c>
      <c r="D43" s="34">
        <v>10549.369400000007</v>
      </c>
      <c r="E43" s="65">
        <v>1119.6098479592533</v>
      </c>
      <c r="F43" s="65">
        <v>259.92074938621431</v>
      </c>
      <c r="G43" s="65">
        <v>0</v>
      </c>
      <c r="H43" s="12">
        <f t="shared" si="0"/>
        <v>14553177.870000007</v>
      </c>
      <c r="I43" s="12">
        <f t="shared" si="1"/>
        <v>1164254.2296000007</v>
      </c>
      <c r="J43" s="12">
        <f t="shared" si="2"/>
        <v>1164254.2296000007</v>
      </c>
      <c r="K43" s="12">
        <f t="shared" si="3"/>
        <v>844084.31646000035</v>
      </c>
      <c r="L43" s="12">
        <f t="shared" si="4"/>
        <v>3172592.7756600017</v>
      </c>
      <c r="M43" s="12">
        <f t="shared" si="5"/>
        <v>1680.2682675667797</v>
      </c>
      <c r="N43" s="12">
        <f t="shared" si="6"/>
        <v>17725770.645660009</v>
      </c>
      <c r="O43" s="14">
        <f>IF(OR($N43="",$N$162=""),"",IFERROR($N43/$N$162,0))</f>
        <v>3.2244996648542378E-2</v>
      </c>
    </row>
    <row r="44" spans="1:15" ht="15.6">
      <c r="A44" s="45">
        <v>4</v>
      </c>
      <c r="B44" s="64" t="s">
        <v>206</v>
      </c>
      <c r="C44" s="58" t="s">
        <v>166</v>
      </c>
      <c r="D44" s="34">
        <v>415.28000000000003</v>
      </c>
      <c r="E44" s="34">
        <v>4496.4415575033718</v>
      </c>
      <c r="F44" s="34">
        <v>1335.7975341937968</v>
      </c>
      <c r="G44" s="34">
        <v>0</v>
      </c>
      <c r="H44" s="12">
        <f t="shared" si="0"/>
        <v>2422012.2500000005</v>
      </c>
      <c r="I44" s="12">
        <f t="shared" si="1"/>
        <v>193760.98000000004</v>
      </c>
      <c r="J44" s="12">
        <f t="shared" si="2"/>
        <v>193760.98000000004</v>
      </c>
      <c r="K44" s="12">
        <f t="shared" si="3"/>
        <v>140476.71050000002</v>
      </c>
      <c r="L44" s="12">
        <f t="shared" si="4"/>
        <v>527998.67050000012</v>
      </c>
      <c r="M44" s="12">
        <f t="shared" si="5"/>
        <v>7103.6672136871512</v>
      </c>
      <c r="N44" s="12">
        <f t="shared" si="6"/>
        <v>2950010.9205000005</v>
      </c>
      <c r="O44" s="14">
        <f>IF(OR($N44="",$N$162=""),"",IFERROR($N44/$N$162,0))</f>
        <v>5.3663727318945045E-3</v>
      </c>
    </row>
    <row r="45" spans="1:15" ht="15.6">
      <c r="A45" s="56">
        <v>5</v>
      </c>
      <c r="B45" s="64" t="s">
        <v>207</v>
      </c>
      <c r="C45" s="58" t="s">
        <v>153</v>
      </c>
      <c r="D45" s="34">
        <v>257.08000000000004</v>
      </c>
      <c r="E45" s="65">
        <v>6757.8185778745901</v>
      </c>
      <c r="F45" s="65">
        <v>2027.0343861832889</v>
      </c>
      <c r="G45" s="65">
        <v>0</v>
      </c>
      <c r="H45" s="12">
        <f t="shared" si="0"/>
        <v>2258409.9999999995</v>
      </c>
      <c r="I45" s="12">
        <f t="shared" si="1"/>
        <v>180672.79999999996</v>
      </c>
      <c r="J45" s="12">
        <f t="shared" si="2"/>
        <v>180672.79999999996</v>
      </c>
      <c r="K45" s="12">
        <f t="shared" si="3"/>
        <v>130987.77999999997</v>
      </c>
      <c r="L45" s="12">
        <f t="shared" si="4"/>
        <v>492333.37999999989</v>
      </c>
      <c r="M45" s="12">
        <f t="shared" si="5"/>
        <v>10699.950910222495</v>
      </c>
      <c r="N45" s="12">
        <f t="shared" si="6"/>
        <v>2750743.3799999994</v>
      </c>
      <c r="O45" s="14">
        <f>IF(OR($N45="",$N$162=""),"",IFERROR($N45/$N$162,0))</f>
        <v>5.0038846176099494E-3</v>
      </c>
    </row>
    <row r="46" spans="1:15" ht="15.6">
      <c r="A46" s="45">
        <v>6</v>
      </c>
      <c r="B46" s="64" t="s">
        <v>208</v>
      </c>
      <c r="C46" s="58" t="s">
        <v>153</v>
      </c>
      <c r="D46" s="34">
        <v>1</v>
      </c>
      <c r="E46" s="65">
        <v>10029895.300000001</v>
      </c>
      <c r="F46" s="65">
        <v>3004370</v>
      </c>
      <c r="G46" s="65">
        <v>0</v>
      </c>
      <c r="H46" s="12">
        <f t="shared" si="0"/>
        <v>13034265.300000001</v>
      </c>
      <c r="I46" s="12">
        <f t="shared" si="1"/>
        <v>1042741.224</v>
      </c>
      <c r="J46" s="12">
        <f t="shared" si="2"/>
        <v>1042741.224</v>
      </c>
      <c r="K46" s="12">
        <f t="shared" si="3"/>
        <v>755987.38740000001</v>
      </c>
      <c r="L46" s="12">
        <f t="shared" si="4"/>
        <v>2841469.8354000002</v>
      </c>
      <c r="M46" s="12">
        <f t="shared" si="5"/>
        <v>15875735.135400001</v>
      </c>
      <c r="N46" s="12">
        <f t="shared" si="6"/>
        <v>15875735.135400001</v>
      </c>
      <c r="O46" s="14">
        <f>IF(OR($N46="",$N$162=""),"",IFERROR($N46/$N$162,0))</f>
        <v>2.887959211857774E-2</v>
      </c>
    </row>
    <row r="47" spans="1:15" ht="15.6">
      <c r="A47" s="56">
        <v>7</v>
      </c>
      <c r="B47" s="67" t="s">
        <v>209</v>
      </c>
      <c r="C47" s="58" t="s">
        <v>164</v>
      </c>
      <c r="D47" s="34">
        <v>31600.764400000004</v>
      </c>
      <c r="E47" s="65">
        <v>174.44198280216284</v>
      </c>
      <c r="F47" s="65">
        <v>299.55066529972925</v>
      </c>
      <c r="G47" s="65">
        <v>0</v>
      </c>
      <c r="H47" s="12">
        <f t="shared" si="0"/>
        <v>14978530</v>
      </c>
      <c r="I47" s="12">
        <f t="shared" si="1"/>
        <v>1198282.4000000001</v>
      </c>
      <c r="J47" s="12">
        <f t="shared" si="2"/>
        <v>1198282.4000000001</v>
      </c>
      <c r="K47" s="12">
        <f t="shared" si="3"/>
        <v>868754.74000000011</v>
      </c>
      <c r="L47" s="12">
        <f t="shared" si="4"/>
        <v>3265319.5400000005</v>
      </c>
      <c r="M47" s="12">
        <f t="shared" si="5"/>
        <v>577.32304538810456</v>
      </c>
      <c r="N47" s="12">
        <f t="shared" si="6"/>
        <v>18243849.539999999</v>
      </c>
      <c r="O47" s="14">
        <f>IF(OR($N47="",$N$162=""),"",IFERROR($N47/$N$162,0))</f>
        <v>3.3187435346730298E-2</v>
      </c>
    </row>
    <row r="48" spans="1:15" ht="15.6">
      <c r="A48" s="45">
        <v>8</v>
      </c>
      <c r="B48" s="64" t="s">
        <v>210</v>
      </c>
      <c r="C48" s="58" t="s">
        <v>153</v>
      </c>
      <c r="D48" s="34">
        <v>787.58339999999998</v>
      </c>
      <c r="E48" s="65">
        <v>5274.5796826088517</v>
      </c>
      <c r="F48" s="65">
        <v>1044.4608151974762</v>
      </c>
      <c r="G48" s="65">
        <v>0</v>
      </c>
      <c r="H48" s="12">
        <f t="shared" si="0"/>
        <v>4976771.4000000004</v>
      </c>
      <c r="I48" s="12">
        <f t="shared" si="1"/>
        <v>398141.71200000006</v>
      </c>
      <c r="J48" s="12">
        <f t="shared" si="2"/>
        <v>398141.71200000006</v>
      </c>
      <c r="K48" s="12">
        <f t="shared" si="3"/>
        <v>288652.74120000005</v>
      </c>
      <c r="L48" s="12">
        <f t="shared" si="4"/>
        <v>1084936.1652000002</v>
      </c>
      <c r="M48" s="12">
        <f t="shared" si="5"/>
        <v>7696.5913263281082</v>
      </c>
      <c r="N48" s="12">
        <f t="shared" si="6"/>
        <v>6061707.565200001</v>
      </c>
      <c r="O48" s="14">
        <f>IF(OR($N48="",$N$162=""),"",IFERROR($N48/$N$162,0))</f>
        <v>1.1026868395827659E-2</v>
      </c>
    </row>
    <row r="49" spans="1:15" ht="15.6">
      <c r="A49" s="56">
        <v>9</v>
      </c>
      <c r="B49" s="64" t="s">
        <v>211</v>
      </c>
      <c r="C49" s="58" t="s">
        <v>164</v>
      </c>
      <c r="D49" s="34">
        <v>513.79999999999995</v>
      </c>
      <c r="E49" s="65">
        <v>6000</v>
      </c>
      <c r="F49" s="65">
        <v>1200.7590502140913</v>
      </c>
      <c r="G49" s="65">
        <v>0</v>
      </c>
      <c r="H49" s="12">
        <f t="shared" si="0"/>
        <v>3699749.9999999995</v>
      </c>
      <c r="I49" s="12">
        <f t="shared" si="1"/>
        <v>295979.99999999994</v>
      </c>
      <c r="J49" s="12">
        <f t="shared" si="2"/>
        <v>295979.99999999994</v>
      </c>
      <c r="K49" s="12">
        <f t="shared" si="3"/>
        <v>214585.49999999997</v>
      </c>
      <c r="L49" s="12">
        <f t="shared" si="4"/>
        <v>806545.49999999988</v>
      </c>
      <c r="M49" s="12">
        <f t="shared" si="5"/>
        <v>8770.5245231607623</v>
      </c>
      <c r="N49" s="12">
        <f t="shared" si="6"/>
        <v>4506295.4999999991</v>
      </c>
      <c r="O49" s="14">
        <f>IF(OR($N49="",$N$162=""),"",IFERROR($N49/$N$162,0))</f>
        <v>8.1974141604059542E-3</v>
      </c>
    </row>
    <row r="50" spans="1:15" ht="15.6">
      <c r="A50" s="45">
        <v>10</v>
      </c>
      <c r="B50" s="64" t="s">
        <v>212</v>
      </c>
      <c r="C50" s="58" t="s">
        <v>153</v>
      </c>
      <c r="D50" s="34">
        <v>1</v>
      </c>
      <c r="E50" s="65">
        <v>461179.39999999997</v>
      </c>
      <c r="F50" s="65">
        <v>137100</v>
      </c>
      <c r="G50" s="65">
        <v>0</v>
      </c>
      <c r="H50" s="12">
        <f t="shared" si="0"/>
        <v>598279.39999999991</v>
      </c>
      <c r="I50" s="12">
        <f t="shared" si="1"/>
        <v>47862.351999999992</v>
      </c>
      <c r="J50" s="12">
        <f t="shared" si="2"/>
        <v>47862.351999999992</v>
      </c>
      <c r="K50" s="12">
        <f t="shared" si="3"/>
        <v>34700.205199999989</v>
      </c>
      <c r="L50" s="12">
        <f t="shared" si="4"/>
        <v>130424.90919999997</v>
      </c>
      <c r="M50" s="12">
        <f t="shared" si="5"/>
        <v>728704.3091999999</v>
      </c>
      <c r="N50" s="12">
        <f t="shared" si="6"/>
        <v>728704.3091999999</v>
      </c>
      <c r="O50" s="14">
        <f>IF(OR($N50="",$N$162=""),"",IFERROR($N50/$N$162,0))</f>
        <v>1.325587952007346E-3</v>
      </c>
    </row>
    <row r="51" spans="1:15" ht="15.6">
      <c r="A51" s="56">
        <v>11</v>
      </c>
      <c r="B51" s="64" t="s">
        <v>213</v>
      </c>
      <c r="C51" s="58" t="s">
        <v>153</v>
      </c>
      <c r="D51" s="34">
        <v>1</v>
      </c>
      <c r="E51" s="65">
        <v>450000</v>
      </c>
      <c r="F51" s="65">
        <v>92455</v>
      </c>
      <c r="G51" s="65">
        <v>0</v>
      </c>
      <c r="H51" s="12">
        <f t="shared" si="0"/>
        <v>542455</v>
      </c>
      <c r="I51" s="12">
        <f t="shared" si="1"/>
        <v>43396.4</v>
      </c>
      <c r="J51" s="12">
        <f t="shared" si="2"/>
        <v>43396.4</v>
      </c>
      <c r="K51" s="12">
        <f t="shared" si="3"/>
        <v>31462.390000000003</v>
      </c>
      <c r="L51" s="12">
        <f t="shared" si="4"/>
        <v>118255.19</v>
      </c>
      <c r="M51" s="12">
        <f t="shared" si="5"/>
        <v>660710.18999999994</v>
      </c>
      <c r="N51" s="12">
        <f t="shared" si="6"/>
        <v>660710.18999999994</v>
      </c>
      <c r="O51" s="14">
        <f>IF(OR($N51="",$N$162=""),"",IFERROR($N51/$N$162,0))</f>
        <v>1.2018996684594939E-3</v>
      </c>
    </row>
    <row r="52" spans="1:15" ht="15.9" thickBot="1">
      <c r="A52" s="45">
        <v>12</v>
      </c>
      <c r="B52" s="74" t="s">
        <v>214</v>
      </c>
      <c r="C52" s="58" t="s">
        <v>153</v>
      </c>
      <c r="D52" s="34">
        <v>1</v>
      </c>
      <c r="E52" s="65">
        <v>2361525</v>
      </c>
      <c r="F52" s="65">
        <v>470680</v>
      </c>
      <c r="G52" s="65">
        <v>0</v>
      </c>
      <c r="H52" s="12">
        <f t="shared" si="0"/>
        <v>2832205</v>
      </c>
      <c r="I52" s="12">
        <f t="shared" si="1"/>
        <v>226576.4</v>
      </c>
      <c r="J52" s="12">
        <f t="shared" si="2"/>
        <v>226576.4</v>
      </c>
      <c r="K52" s="12">
        <f t="shared" si="3"/>
        <v>164267.89000000001</v>
      </c>
      <c r="L52" s="12">
        <f t="shared" si="4"/>
        <v>617420.68999999994</v>
      </c>
      <c r="M52" s="12">
        <f t="shared" si="5"/>
        <v>3449625.69</v>
      </c>
      <c r="N52" s="12">
        <f t="shared" si="6"/>
        <v>3449625.69</v>
      </c>
      <c r="O52" s="14">
        <f>IF(OR($N52="",$N$162=""),"",IFERROR($N52/$N$162,0))</f>
        <v>6.2752232913501045E-3</v>
      </c>
    </row>
    <row r="53" spans="1:15" ht="15.9" thickBot="1">
      <c r="A53" s="42" t="s">
        <v>292</v>
      </c>
      <c r="B53" s="55" t="s">
        <v>215</v>
      </c>
      <c r="C53" s="43"/>
      <c r="D53" s="44"/>
      <c r="E53" s="44"/>
      <c r="F53" s="44"/>
      <c r="G53" s="44"/>
      <c r="H53" s="12">
        <f t="shared" si="0"/>
        <v>0</v>
      </c>
      <c r="I53" s="12">
        <f t="shared" si="1"/>
        <v>0</v>
      </c>
      <c r="J53" s="12">
        <f t="shared" si="2"/>
        <v>0</v>
      </c>
      <c r="K53" s="12">
        <f t="shared" si="3"/>
        <v>0</v>
      </c>
      <c r="L53" s="12">
        <f t="shared" si="4"/>
        <v>0</v>
      </c>
      <c r="M53" s="12" t="str">
        <f t="shared" si="5"/>
        <v/>
      </c>
      <c r="N53" s="12">
        <f t="shared" si="6"/>
        <v>0</v>
      </c>
      <c r="O53" s="14">
        <f>IF(OR($N53="",$N$162=""),"",IFERROR($N53/$N$162,0))</f>
        <v>0</v>
      </c>
    </row>
    <row r="54" spans="1:15" ht="15.6">
      <c r="A54" s="56">
        <v>1</v>
      </c>
      <c r="B54" s="64" t="s">
        <v>216</v>
      </c>
      <c r="C54" s="58" t="s">
        <v>193</v>
      </c>
      <c r="D54" s="34">
        <v>4017.9850000000006</v>
      </c>
      <c r="E54" s="59">
        <v>900</v>
      </c>
      <c r="F54" s="59">
        <v>0</v>
      </c>
      <c r="G54" s="59">
        <v>0</v>
      </c>
      <c r="H54" s="12">
        <f t="shared" si="0"/>
        <v>3616186.5000000005</v>
      </c>
      <c r="I54" s="12">
        <f t="shared" si="1"/>
        <v>289294.92000000004</v>
      </c>
      <c r="J54" s="12">
        <f t="shared" si="2"/>
        <v>289294.92000000004</v>
      </c>
      <c r="K54" s="12">
        <f t="shared" si="3"/>
        <v>209738.81700000004</v>
      </c>
      <c r="L54" s="12">
        <f t="shared" si="4"/>
        <v>788328.65700000012</v>
      </c>
      <c r="M54" s="12">
        <f t="shared" si="5"/>
        <v>1096.2</v>
      </c>
      <c r="N54" s="12">
        <f t="shared" si="6"/>
        <v>4404515.1570000006</v>
      </c>
      <c r="O54" s="14">
        <f>IF(OR($N54="",$N$162=""),"",IFERROR($N54/$N$162,0))</f>
        <v>8.0122652670501678E-3</v>
      </c>
    </row>
    <row r="55" spans="1:15" ht="15.6">
      <c r="A55" s="45">
        <v>2</v>
      </c>
      <c r="B55" s="64" t="s">
        <v>217</v>
      </c>
      <c r="C55" s="58" t="s">
        <v>193</v>
      </c>
      <c r="D55" s="34">
        <v>1309.5</v>
      </c>
      <c r="E55" s="65">
        <v>1656</v>
      </c>
      <c r="F55" s="65">
        <v>198.97289041618939</v>
      </c>
      <c r="G55" s="65">
        <v>0</v>
      </c>
      <c r="H55" s="12">
        <f t="shared" si="0"/>
        <v>2429087</v>
      </c>
      <c r="I55" s="12">
        <f t="shared" si="1"/>
        <v>194326.96</v>
      </c>
      <c r="J55" s="12">
        <f t="shared" si="2"/>
        <v>194326.96</v>
      </c>
      <c r="K55" s="12">
        <f t="shared" si="3"/>
        <v>140887.046</v>
      </c>
      <c r="L55" s="12">
        <f t="shared" si="4"/>
        <v>529540.96600000001</v>
      </c>
      <c r="M55" s="12">
        <f t="shared" si="5"/>
        <v>2259.3569805269185</v>
      </c>
      <c r="N55" s="12">
        <f t="shared" si="6"/>
        <v>2958627.966</v>
      </c>
      <c r="O55" s="14">
        <f>IF(OR($N55="",$N$162=""),"",IFERROR($N55/$N$162,0))</f>
        <v>5.3820480223415153E-3</v>
      </c>
    </row>
    <row r="56" spans="1:15" ht="15.6">
      <c r="A56" s="45">
        <v>3</v>
      </c>
      <c r="B56" s="64" t="s">
        <v>218</v>
      </c>
      <c r="C56" s="58" t="s">
        <v>193</v>
      </c>
      <c r="D56" s="34">
        <v>188.8</v>
      </c>
      <c r="E56" s="65">
        <v>249.99999999999997</v>
      </c>
      <c r="F56" s="65">
        <v>133.5540254237288</v>
      </c>
      <c r="G56" s="65">
        <v>0</v>
      </c>
      <c r="H56" s="12">
        <f t="shared" si="0"/>
        <v>72415</v>
      </c>
      <c r="I56" s="12">
        <f t="shared" si="1"/>
        <v>5793.2</v>
      </c>
      <c r="J56" s="12">
        <f t="shared" si="2"/>
        <v>5793.2</v>
      </c>
      <c r="K56" s="12">
        <f t="shared" si="3"/>
        <v>4200.07</v>
      </c>
      <c r="L56" s="12">
        <f t="shared" si="4"/>
        <v>15786.47</v>
      </c>
      <c r="M56" s="12">
        <f t="shared" si="5"/>
        <v>467.16880296610168</v>
      </c>
      <c r="N56" s="12">
        <f t="shared" si="6"/>
        <v>88201.47</v>
      </c>
      <c r="O56" s="14">
        <f>IF(OR($N56="",$N$162=""),"",IFERROR($N56/$N$162,0))</f>
        <v>1.6044752927246362E-4</v>
      </c>
    </row>
    <row r="57" spans="1:15" ht="15.9" thickBot="1">
      <c r="A57" s="45">
        <v>4</v>
      </c>
      <c r="B57" s="74" t="s">
        <v>219</v>
      </c>
      <c r="C57" s="58" t="s">
        <v>193</v>
      </c>
      <c r="D57" s="34">
        <v>1689.4582000000007</v>
      </c>
      <c r="E57" s="65">
        <v>250</v>
      </c>
      <c r="F57" s="65">
        <v>248.74838572508028</v>
      </c>
      <c r="G57" s="65">
        <v>0</v>
      </c>
      <c r="H57" s="12">
        <f t="shared" si="0"/>
        <v>842614.55000000028</v>
      </c>
      <c r="I57" s="12">
        <f t="shared" si="1"/>
        <v>67409.164000000019</v>
      </c>
      <c r="J57" s="12">
        <f t="shared" si="2"/>
        <v>67409.164000000019</v>
      </c>
      <c r="K57" s="12">
        <f t="shared" si="3"/>
        <v>48871.643900000017</v>
      </c>
      <c r="L57" s="12">
        <f t="shared" si="4"/>
        <v>183689.97190000006</v>
      </c>
      <c r="M57" s="12">
        <f t="shared" si="5"/>
        <v>607.47553381314776</v>
      </c>
      <c r="N57" s="12">
        <f t="shared" si="6"/>
        <v>1026304.5219000003</v>
      </c>
      <c r="O57" s="14">
        <f>IF(OR($N57="",$N$162=""),"",IFERROR($N57/$N$162,0))</f>
        <v>1.8669532925019512E-3</v>
      </c>
    </row>
    <row r="58" spans="1:15" ht="15.9" thickBot="1">
      <c r="A58" s="75" t="s">
        <v>293</v>
      </c>
      <c r="B58" s="55" t="s">
        <v>294</v>
      </c>
      <c r="C58" s="43"/>
      <c r="D58" s="44"/>
      <c r="E58" s="44"/>
      <c r="F58" s="44"/>
      <c r="G58" s="44"/>
      <c r="H58" s="12">
        <f t="shared" si="0"/>
        <v>0</v>
      </c>
      <c r="I58" s="12">
        <f t="shared" si="1"/>
        <v>0</v>
      </c>
      <c r="J58" s="12">
        <f t="shared" si="2"/>
        <v>0</v>
      </c>
      <c r="K58" s="12">
        <f t="shared" si="3"/>
        <v>0</v>
      </c>
      <c r="L58" s="12">
        <f t="shared" si="4"/>
        <v>0</v>
      </c>
      <c r="M58" s="12" t="str">
        <f t="shared" si="5"/>
        <v/>
      </c>
      <c r="N58" s="12">
        <f t="shared" si="6"/>
        <v>0</v>
      </c>
      <c r="O58" s="14">
        <f>IF(OR($N58="",$N$162=""),"",IFERROR($N58/$N$162,0))</f>
        <v>0</v>
      </c>
    </row>
    <row r="59" spans="1:15" ht="15.6">
      <c r="A59" s="56">
        <v>1</v>
      </c>
      <c r="B59" s="64" t="s">
        <v>221</v>
      </c>
      <c r="C59" s="58" t="s">
        <v>153</v>
      </c>
      <c r="D59" s="29">
        <v>1</v>
      </c>
      <c r="E59" s="29">
        <v>2384484.9000000004</v>
      </c>
      <c r="F59" s="29">
        <v>707110</v>
      </c>
      <c r="G59" s="29">
        <v>0</v>
      </c>
      <c r="H59" s="12">
        <f t="shared" si="0"/>
        <v>3091594.9000000004</v>
      </c>
      <c r="I59" s="12">
        <f t="shared" si="1"/>
        <v>247327.59200000003</v>
      </c>
      <c r="J59" s="12">
        <f t="shared" si="2"/>
        <v>247327.59200000003</v>
      </c>
      <c r="K59" s="12">
        <f t="shared" si="3"/>
        <v>179312.50420000005</v>
      </c>
      <c r="L59" s="12">
        <f t="shared" si="4"/>
        <v>673967.68820000009</v>
      </c>
      <c r="M59" s="12">
        <f t="shared" si="5"/>
        <v>3765562.5882000006</v>
      </c>
      <c r="N59" s="12">
        <f t="shared" si="6"/>
        <v>3765562.5882000006</v>
      </c>
      <c r="O59" s="14">
        <f>IF(OR($N59="",$N$162=""),"",IFERROR($N59/$N$162,0))</f>
        <v>6.8499449453338305E-3</v>
      </c>
    </row>
    <row r="60" spans="1:15" ht="15.9" thickBot="1">
      <c r="A60" s="56">
        <v>2</v>
      </c>
      <c r="B60" s="64" t="s">
        <v>222</v>
      </c>
      <c r="C60" s="58" t="s">
        <v>153</v>
      </c>
      <c r="D60" s="29">
        <v>1</v>
      </c>
      <c r="E60" s="29">
        <v>2652262</v>
      </c>
      <c r="F60" s="29">
        <v>786945</v>
      </c>
      <c r="G60" s="29">
        <v>0</v>
      </c>
      <c r="H60" s="12">
        <f t="shared" si="0"/>
        <v>3439207</v>
      </c>
      <c r="I60" s="12">
        <f t="shared" si="1"/>
        <v>275136.56</v>
      </c>
      <c r="J60" s="12">
        <f t="shared" si="2"/>
        <v>275136.56</v>
      </c>
      <c r="K60" s="12">
        <f t="shared" si="3"/>
        <v>199474.00600000002</v>
      </c>
      <c r="L60" s="12">
        <f t="shared" si="4"/>
        <v>749747.12600000005</v>
      </c>
      <c r="M60" s="12">
        <f t="shared" si="5"/>
        <v>4188954.1260000002</v>
      </c>
      <c r="N60" s="12">
        <f t="shared" si="6"/>
        <v>4188954.1260000002</v>
      </c>
      <c r="O60" s="14">
        <f>IF(OR($N60="",$N$162=""),"",IFERROR($N60/$N$162,0))</f>
        <v>7.6201376207493173E-3</v>
      </c>
    </row>
    <row r="61" spans="1:15" ht="15.9" thickBot="1">
      <c r="A61" s="42" t="s">
        <v>295</v>
      </c>
      <c r="B61" s="55" t="s">
        <v>223</v>
      </c>
      <c r="C61" s="43"/>
      <c r="D61" s="44"/>
      <c r="E61" s="44"/>
      <c r="F61" s="44"/>
      <c r="G61" s="44"/>
      <c r="H61" s="12">
        <f t="shared" si="0"/>
        <v>0</v>
      </c>
      <c r="I61" s="12">
        <f t="shared" si="1"/>
        <v>0</v>
      </c>
      <c r="J61" s="12">
        <f t="shared" si="2"/>
        <v>0</v>
      </c>
      <c r="K61" s="12">
        <f t="shared" si="3"/>
        <v>0</v>
      </c>
      <c r="L61" s="12">
        <f t="shared" si="4"/>
        <v>0</v>
      </c>
      <c r="M61" s="12" t="str">
        <f t="shared" si="5"/>
        <v/>
      </c>
      <c r="N61" s="12">
        <f t="shared" si="6"/>
        <v>0</v>
      </c>
      <c r="O61" s="14">
        <f>IF(OR($N61="",$N$162=""),"",IFERROR($N61/$N$162,0))</f>
        <v>0</v>
      </c>
    </row>
    <row r="62" spans="1:15" ht="15.6">
      <c r="A62" s="76">
        <v>1</v>
      </c>
      <c r="B62" s="77" t="s">
        <v>224</v>
      </c>
      <c r="C62" s="78" t="s">
        <v>153</v>
      </c>
      <c r="D62" s="79">
        <v>1</v>
      </c>
      <c r="E62" s="80">
        <v>24582903.850000001</v>
      </c>
      <c r="F62" s="79">
        <v>7376625</v>
      </c>
      <c r="G62" s="79">
        <v>0</v>
      </c>
      <c r="H62" s="12">
        <f t="shared" si="0"/>
        <v>31959528.850000001</v>
      </c>
      <c r="I62" s="12">
        <f t="shared" si="1"/>
        <v>2556762.3080000002</v>
      </c>
      <c r="J62" s="12">
        <f t="shared" si="2"/>
        <v>2556762.3080000002</v>
      </c>
      <c r="K62" s="12">
        <f t="shared" si="3"/>
        <v>1853652.6732999999</v>
      </c>
      <c r="L62" s="12">
        <f t="shared" si="4"/>
        <v>6967177.2893000003</v>
      </c>
      <c r="M62" s="12">
        <f t="shared" si="5"/>
        <v>38926706.139300004</v>
      </c>
      <c r="N62" s="12">
        <f t="shared" si="6"/>
        <v>38926706.139300004</v>
      </c>
      <c r="O62" s="14">
        <f>IF(OR($N62="",$N$162=""),"",IFERROR($N62/$N$162,0))</f>
        <v>7.0811674938818223E-2</v>
      </c>
    </row>
    <row r="63" spans="1:15" ht="15.9" thickBot="1">
      <c r="A63" s="81">
        <v>2</v>
      </c>
      <c r="B63" s="74" t="s">
        <v>225</v>
      </c>
      <c r="C63" s="82" t="s">
        <v>153</v>
      </c>
      <c r="D63" s="83">
        <v>1</v>
      </c>
      <c r="E63" s="84">
        <v>3406407</v>
      </c>
      <c r="F63" s="69">
        <v>1014540</v>
      </c>
      <c r="G63" s="69">
        <v>0</v>
      </c>
      <c r="H63" s="12">
        <f t="shared" si="0"/>
        <v>4420947</v>
      </c>
      <c r="I63" s="12">
        <f t="shared" si="1"/>
        <v>353675.76</v>
      </c>
      <c r="J63" s="12">
        <f t="shared" si="2"/>
        <v>353675.76</v>
      </c>
      <c r="K63" s="12">
        <f t="shared" si="3"/>
        <v>256414.92599999998</v>
      </c>
      <c r="L63" s="12">
        <f t="shared" si="4"/>
        <v>963766.446</v>
      </c>
      <c r="M63" s="12">
        <f t="shared" si="5"/>
        <v>5384713.4460000005</v>
      </c>
      <c r="N63" s="12">
        <f t="shared" si="6"/>
        <v>5384713.4460000005</v>
      </c>
      <c r="O63" s="14">
        <f>IF(OR($N63="",$N$162=""),"",IFERROR($N63/$N$162,0))</f>
        <v>9.795346588338194E-3</v>
      </c>
    </row>
    <row r="64" spans="1:15" ht="15.9" thickBot="1">
      <c r="A64" s="42" t="s">
        <v>296</v>
      </c>
      <c r="B64" s="55" t="s">
        <v>226</v>
      </c>
      <c r="C64" s="43"/>
      <c r="D64" s="44"/>
      <c r="E64" s="44"/>
      <c r="F64" s="44"/>
      <c r="G64" s="44"/>
      <c r="H64" s="12">
        <f t="shared" si="0"/>
        <v>0</v>
      </c>
      <c r="I64" s="12">
        <f t="shared" si="1"/>
        <v>0</v>
      </c>
      <c r="J64" s="12">
        <f t="shared" si="2"/>
        <v>0</v>
      </c>
      <c r="K64" s="12">
        <f t="shared" si="3"/>
        <v>0</v>
      </c>
      <c r="L64" s="12">
        <f t="shared" si="4"/>
        <v>0</v>
      </c>
      <c r="M64" s="12" t="str">
        <f t="shared" si="5"/>
        <v/>
      </c>
      <c r="N64" s="12">
        <f t="shared" si="6"/>
        <v>0</v>
      </c>
      <c r="O64" s="14">
        <f>IF(OR($N64="",$N$162=""),"",IFERROR($N64/$N$162,0))</f>
        <v>0</v>
      </c>
    </row>
    <row r="65" spans="1:15" ht="15.6">
      <c r="A65" s="45">
        <v>1</v>
      </c>
      <c r="B65" s="72" t="s">
        <v>227</v>
      </c>
      <c r="C65" s="28" t="s">
        <v>153</v>
      </c>
      <c r="D65" s="29">
        <v>1</v>
      </c>
      <c r="E65" s="73">
        <v>13940004.4</v>
      </c>
      <c r="F65" s="73">
        <v>808890</v>
      </c>
      <c r="G65" s="73">
        <v>0</v>
      </c>
      <c r="H65" s="12">
        <f t="shared" si="0"/>
        <v>14748894.4</v>
      </c>
      <c r="I65" s="12">
        <f t="shared" si="1"/>
        <v>1179911.5520000001</v>
      </c>
      <c r="J65" s="12">
        <f t="shared" si="2"/>
        <v>1179911.5520000001</v>
      </c>
      <c r="K65" s="12">
        <f t="shared" si="3"/>
        <v>855435.87520000013</v>
      </c>
      <c r="L65" s="12">
        <f t="shared" si="4"/>
        <v>3215258.9792000004</v>
      </c>
      <c r="M65" s="12">
        <f t="shared" si="5"/>
        <v>17964153.3792</v>
      </c>
      <c r="N65" s="12">
        <f t="shared" si="6"/>
        <v>17964153.3792</v>
      </c>
      <c r="O65" s="14">
        <f>IF(OR($N65="",$N$162=""),"",IFERROR($N65/$N$162,0))</f>
        <v>3.2678639314789405E-2</v>
      </c>
    </row>
    <row r="66" spans="1:15" ht="15.6">
      <c r="A66" s="56">
        <v>2</v>
      </c>
      <c r="B66" s="64" t="s">
        <v>228</v>
      </c>
      <c r="C66" s="33" t="s">
        <v>153</v>
      </c>
      <c r="D66" s="29">
        <v>1</v>
      </c>
      <c r="E66" s="73">
        <v>1125640</v>
      </c>
      <c r="F66" s="73">
        <v>438720</v>
      </c>
      <c r="G66" s="73">
        <v>0</v>
      </c>
      <c r="H66" s="12">
        <f t="shared" si="0"/>
        <v>1564360</v>
      </c>
      <c r="I66" s="12">
        <f t="shared" si="1"/>
        <v>125148.8</v>
      </c>
      <c r="J66" s="12">
        <f t="shared" si="2"/>
        <v>125148.8</v>
      </c>
      <c r="K66" s="12">
        <f t="shared" si="3"/>
        <v>90732.88</v>
      </c>
      <c r="L66" s="12">
        <f t="shared" si="4"/>
        <v>341030.48</v>
      </c>
      <c r="M66" s="12">
        <f t="shared" si="5"/>
        <v>1905390.48</v>
      </c>
      <c r="N66" s="12">
        <f t="shared" si="6"/>
        <v>1905390.48</v>
      </c>
      <c r="O66" s="14">
        <f>IF(OR($N66="",$N$162=""),"",IFERROR($N66/$N$162,0))</f>
        <v>3.4661009030265994E-3</v>
      </c>
    </row>
    <row r="67" spans="1:15" ht="15.6">
      <c r="A67" s="56">
        <v>3</v>
      </c>
      <c r="B67" s="64" t="s">
        <v>229</v>
      </c>
      <c r="C67" s="33" t="s">
        <v>153</v>
      </c>
      <c r="D67" s="29">
        <v>1</v>
      </c>
      <c r="E67" s="73">
        <v>3668306.5079999994</v>
      </c>
      <c r="F67" s="73">
        <v>3318350</v>
      </c>
      <c r="G67" s="73">
        <v>0</v>
      </c>
      <c r="H67" s="12">
        <f t="shared" si="0"/>
        <v>6986656.5079999994</v>
      </c>
      <c r="I67" s="12">
        <f t="shared" si="1"/>
        <v>558932.52064</v>
      </c>
      <c r="J67" s="12">
        <f t="shared" si="2"/>
        <v>558932.52064</v>
      </c>
      <c r="K67" s="12">
        <f t="shared" si="3"/>
        <v>405226.07746399997</v>
      </c>
      <c r="L67" s="12">
        <f t="shared" si="4"/>
        <v>1523091.1187439999</v>
      </c>
      <c r="M67" s="12">
        <f t="shared" si="5"/>
        <v>8509747.6267439984</v>
      </c>
      <c r="N67" s="12">
        <f t="shared" si="6"/>
        <v>8509747.6267439984</v>
      </c>
      <c r="O67" s="14">
        <f>IF(OR($N67="",$N$162=""),"",IFERROR($N67/$N$162,0))</f>
        <v>1.5480104599654468E-2</v>
      </c>
    </row>
    <row r="68" spans="1:15" ht="15.9" thickBot="1">
      <c r="A68" s="56">
        <v>4</v>
      </c>
      <c r="B68" s="64" t="s">
        <v>230</v>
      </c>
      <c r="C68" s="33" t="s">
        <v>153</v>
      </c>
      <c r="D68" s="29">
        <v>1</v>
      </c>
      <c r="E68" s="73">
        <v>2359528</v>
      </c>
      <c r="F68" s="73">
        <v>947430</v>
      </c>
      <c r="G68" s="73">
        <v>0</v>
      </c>
      <c r="H68" s="12">
        <f t="shared" si="0"/>
        <v>3306958</v>
      </c>
      <c r="I68" s="12">
        <f t="shared" si="1"/>
        <v>264556.64</v>
      </c>
      <c r="J68" s="12">
        <f t="shared" si="2"/>
        <v>264556.64</v>
      </c>
      <c r="K68" s="12">
        <f t="shared" si="3"/>
        <v>191803.56400000001</v>
      </c>
      <c r="L68" s="12">
        <f t="shared" si="4"/>
        <v>720916.84400000004</v>
      </c>
      <c r="M68" s="12">
        <f t="shared" si="5"/>
        <v>4027874.844</v>
      </c>
      <c r="N68" s="12">
        <f t="shared" si="6"/>
        <v>4027874.844</v>
      </c>
      <c r="O68" s="14">
        <f>IF(OR($N68="",$N$162=""),"",IFERROR($N68/$N$162,0))</f>
        <v>7.3271178693338091E-3</v>
      </c>
    </row>
    <row r="69" spans="1:15" ht="15.9" thickBot="1">
      <c r="A69" s="42" t="s">
        <v>297</v>
      </c>
      <c r="B69" s="55" t="s">
        <v>231</v>
      </c>
      <c r="C69" s="43"/>
      <c r="D69" s="44"/>
      <c r="E69" s="44"/>
      <c r="F69" s="44"/>
      <c r="G69" s="44"/>
      <c r="H69" s="12">
        <f t="shared" si="0"/>
        <v>0</v>
      </c>
      <c r="I69" s="12">
        <f t="shared" si="1"/>
        <v>0</v>
      </c>
      <c r="J69" s="12">
        <f t="shared" si="2"/>
        <v>0</v>
      </c>
      <c r="K69" s="12">
        <f t="shared" si="3"/>
        <v>0</v>
      </c>
      <c r="L69" s="12">
        <f t="shared" si="4"/>
        <v>0</v>
      </c>
      <c r="M69" s="12" t="str">
        <f t="shared" si="5"/>
        <v/>
      </c>
      <c r="N69" s="12">
        <f t="shared" si="6"/>
        <v>0</v>
      </c>
      <c r="O69" s="14">
        <f>IF(OR($N69="",$N$162=""),"",IFERROR($N69/$N$162,0))</f>
        <v>0</v>
      </c>
    </row>
    <row r="70" spans="1:15" ht="15.6">
      <c r="A70" s="56">
        <v>1</v>
      </c>
      <c r="B70" s="64" t="s">
        <v>232</v>
      </c>
      <c r="C70" s="58" t="s">
        <v>153</v>
      </c>
      <c r="D70" s="34">
        <v>1</v>
      </c>
      <c r="E70" s="85">
        <v>1242600</v>
      </c>
      <c r="F70" s="85">
        <v>726630</v>
      </c>
      <c r="G70" s="85">
        <v>0</v>
      </c>
      <c r="H70" s="12">
        <f t="shared" si="0"/>
        <v>1969230</v>
      </c>
      <c r="I70" s="12">
        <f t="shared" si="1"/>
        <v>157538.4</v>
      </c>
      <c r="J70" s="12">
        <f t="shared" si="2"/>
        <v>157538.4</v>
      </c>
      <c r="K70" s="12">
        <f t="shared" si="3"/>
        <v>114215.34</v>
      </c>
      <c r="L70" s="12">
        <f t="shared" si="4"/>
        <v>429292.14</v>
      </c>
      <c r="M70" s="12">
        <f t="shared" si="5"/>
        <v>2398522.14</v>
      </c>
      <c r="N70" s="12">
        <f t="shared" si="6"/>
        <v>2398522.14</v>
      </c>
      <c r="O70" s="14">
        <f>IF(OR($N70="",$N$162=""),"",IFERROR($N70/$N$162,0))</f>
        <v>4.3631580207030805E-3</v>
      </c>
    </row>
    <row r="71" spans="1:15" ht="15.6">
      <c r="A71" s="56">
        <v>2</v>
      </c>
      <c r="B71" s="64" t="s">
        <v>233</v>
      </c>
      <c r="C71" s="58" t="s">
        <v>153</v>
      </c>
      <c r="D71" s="34">
        <v>1</v>
      </c>
      <c r="E71" s="73">
        <v>392400</v>
      </c>
      <c r="F71" s="73">
        <v>210125</v>
      </c>
      <c r="G71" s="73">
        <v>0</v>
      </c>
      <c r="H71" s="12">
        <f t="shared" si="0"/>
        <v>602525</v>
      </c>
      <c r="I71" s="12">
        <f t="shared" si="1"/>
        <v>48202</v>
      </c>
      <c r="J71" s="12">
        <f t="shared" si="2"/>
        <v>48202</v>
      </c>
      <c r="K71" s="12">
        <f t="shared" si="3"/>
        <v>34946.450000000004</v>
      </c>
      <c r="L71" s="12">
        <f t="shared" si="4"/>
        <v>131350.45000000001</v>
      </c>
      <c r="M71" s="12">
        <f t="shared" si="5"/>
        <v>733875.45</v>
      </c>
      <c r="N71" s="12">
        <f t="shared" si="6"/>
        <v>733875.45</v>
      </c>
      <c r="O71" s="14">
        <f>IF(OR($N71="",$N$162=""),"",IFERROR($N71/$N$162,0))</f>
        <v>1.3349947880258392E-3</v>
      </c>
    </row>
    <row r="72" spans="1:15" ht="15.6">
      <c r="A72" s="56">
        <v>3</v>
      </c>
      <c r="B72" s="64" t="s">
        <v>234</v>
      </c>
      <c r="C72" s="58" t="s">
        <v>153</v>
      </c>
      <c r="D72" s="34">
        <v>1</v>
      </c>
      <c r="E72" s="65">
        <v>2485200</v>
      </c>
      <c r="F72" s="65">
        <v>1069380</v>
      </c>
      <c r="G72" s="65"/>
      <c r="H72" s="12">
        <f t="shared" si="0"/>
        <v>3554580</v>
      </c>
      <c r="I72" s="12">
        <f t="shared" si="1"/>
        <v>284366.40000000002</v>
      </c>
      <c r="J72" s="12">
        <f t="shared" si="2"/>
        <v>284366.40000000002</v>
      </c>
      <c r="K72" s="12">
        <f t="shared" si="3"/>
        <v>206165.64</v>
      </c>
      <c r="L72" s="12">
        <f t="shared" si="4"/>
        <v>774898.44000000006</v>
      </c>
      <c r="M72" s="12">
        <f t="shared" si="5"/>
        <v>4329478.4400000004</v>
      </c>
      <c r="N72" s="12">
        <f t="shared" si="6"/>
        <v>4329478.4400000004</v>
      </c>
      <c r="O72" s="14">
        <f>IF(OR($N72="",$N$162=""),"",IFERROR($N72/$N$162,0))</f>
        <v>7.8757657750647483E-3</v>
      </c>
    </row>
    <row r="73" spans="1:15" ht="15.6">
      <c r="A73" s="56">
        <v>4</v>
      </c>
      <c r="B73" s="64" t="s">
        <v>235</v>
      </c>
      <c r="C73" s="58" t="s">
        <v>153</v>
      </c>
      <c r="D73" s="34">
        <v>1</v>
      </c>
      <c r="E73" s="65">
        <v>2891515.4399999995</v>
      </c>
      <c r="F73" s="65">
        <v>658080</v>
      </c>
      <c r="G73" s="65"/>
      <c r="H73" s="12">
        <f t="shared" si="0"/>
        <v>3549595.4399999995</v>
      </c>
      <c r="I73" s="12">
        <f t="shared" si="1"/>
        <v>283967.63519999996</v>
      </c>
      <c r="J73" s="12">
        <f t="shared" si="2"/>
        <v>283967.63519999996</v>
      </c>
      <c r="K73" s="12">
        <f t="shared" si="3"/>
        <v>205876.53551999998</v>
      </c>
      <c r="L73" s="12">
        <f t="shared" si="4"/>
        <v>773811.80591999996</v>
      </c>
      <c r="M73" s="12">
        <f t="shared" si="5"/>
        <v>4323407.2459199997</v>
      </c>
      <c r="N73" s="12">
        <f t="shared" si="6"/>
        <v>4323407.2459199997</v>
      </c>
      <c r="O73" s="14">
        <f>IF(OR($N73="",$N$162=""),"",IFERROR($N73/$N$162,0))</f>
        <v>7.8647216497245518E-3</v>
      </c>
    </row>
    <row r="74" spans="1:15" ht="15.6">
      <c r="A74" s="56">
        <v>5</v>
      </c>
      <c r="B74" s="64" t="s">
        <v>236</v>
      </c>
      <c r="C74" s="58" t="s">
        <v>153</v>
      </c>
      <c r="D74" s="34">
        <v>1</v>
      </c>
      <c r="E74" s="65">
        <v>1248608.94</v>
      </c>
      <c r="F74" s="65">
        <v>395035</v>
      </c>
      <c r="G74" s="65"/>
      <c r="H74" s="12">
        <f t="shared" si="0"/>
        <v>1643643.94</v>
      </c>
      <c r="I74" s="12">
        <f t="shared" si="1"/>
        <v>131491.51519999999</v>
      </c>
      <c r="J74" s="12">
        <f t="shared" si="2"/>
        <v>131491.51519999999</v>
      </c>
      <c r="K74" s="12">
        <f t="shared" si="3"/>
        <v>95331.34852</v>
      </c>
      <c r="L74" s="12">
        <f t="shared" si="4"/>
        <v>358314.37891999999</v>
      </c>
      <c r="M74" s="12">
        <f t="shared" si="5"/>
        <v>2001958.31892</v>
      </c>
      <c r="N74" s="12">
        <f t="shared" si="6"/>
        <v>2001958.31892</v>
      </c>
      <c r="O74" s="14">
        <f>IF(OR($N74="",$N$162=""),"",IFERROR($N74/$N$162,0))</f>
        <v>3.64176771631095E-3</v>
      </c>
    </row>
    <row r="75" spans="1:15" ht="15.9" thickBot="1">
      <c r="A75" s="56">
        <v>6</v>
      </c>
      <c r="B75" s="67" t="s">
        <v>237</v>
      </c>
      <c r="C75" s="68" t="s">
        <v>153</v>
      </c>
      <c r="D75" s="69">
        <v>1</v>
      </c>
      <c r="E75" s="69">
        <v>2037204.0599999996</v>
      </c>
      <c r="F75" s="69">
        <v>973410</v>
      </c>
      <c r="G75" s="69"/>
      <c r="H75" s="12">
        <f t="shared" si="0"/>
        <v>3010614.0599999996</v>
      </c>
      <c r="I75" s="12">
        <f t="shared" si="1"/>
        <v>240849.12479999996</v>
      </c>
      <c r="J75" s="12">
        <f t="shared" si="2"/>
        <v>240849.12479999996</v>
      </c>
      <c r="K75" s="12">
        <f t="shared" si="3"/>
        <v>174615.61547999998</v>
      </c>
      <c r="L75" s="12">
        <f t="shared" si="4"/>
        <v>656313.8650799999</v>
      </c>
      <c r="M75" s="12">
        <f t="shared" si="5"/>
        <v>3666927.9250799995</v>
      </c>
      <c r="N75" s="12">
        <f t="shared" si="6"/>
        <v>3666927.9250799995</v>
      </c>
      <c r="O75" s="14">
        <f>IF(OR($N75="",$N$162=""),"",IFERROR($N75/$N$162,0))</f>
        <v>6.670518366635925E-3</v>
      </c>
    </row>
    <row r="76" spans="1:15" ht="15.9" thickBot="1">
      <c r="A76" s="42" t="s">
        <v>298</v>
      </c>
      <c r="B76" s="55" t="s">
        <v>299</v>
      </c>
      <c r="C76" s="43"/>
      <c r="D76" s="44"/>
      <c r="E76" s="44"/>
      <c r="F76" s="44"/>
      <c r="G76" s="44"/>
      <c r="H76" s="12">
        <f t="shared" si="0"/>
        <v>0</v>
      </c>
      <c r="I76" s="12">
        <f t="shared" si="1"/>
        <v>0</v>
      </c>
      <c r="J76" s="12">
        <f t="shared" si="2"/>
        <v>0</v>
      </c>
      <c r="K76" s="12">
        <f t="shared" si="3"/>
        <v>0</v>
      </c>
      <c r="L76" s="12">
        <f t="shared" si="4"/>
        <v>0</v>
      </c>
      <c r="M76" s="12" t="str">
        <f t="shared" si="5"/>
        <v/>
      </c>
      <c r="N76" s="12">
        <f t="shared" si="6"/>
        <v>0</v>
      </c>
      <c r="O76" s="14">
        <f>IF(OR($N76="",$N$162=""),"",IFERROR($N76/$N$162,0))</f>
        <v>0</v>
      </c>
    </row>
    <row r="77" spans="1:15" ht="15.6">
      <c r="A77" s="56">
        <v>1</v>
      </c>
      <c r="B77" s="64" t="s">
        <v>238</v>
      </c>
      <c r="C77" s="58" t="s">
        <v>239</v>
      </c>
      <c r="D77" s="34">
        <v>3.1850000000000001</v>
      </c>
      <c r="E77" s="85">
        <v>0</v>
      </c>
      <c r="F77" s="85">
        <v>13116.483516483517</v>
      </c>
      <c r="G77" s="85">
        <v>175824.17582417582</v>
      </c>
      <c r="H77" s="12">
        <f t="shared" si="0"/>
        <v>601776</v>
      </c>
      <c r="I77" s="12">
        <f t="shared" si="1"/>
        <v>48142.080000000002</v>
      </c>
      <c r="J77" s="12">
        <f t="shared" si="2"/>
        <v>48142.080000000002</v>
      </c>
      <c r="K77" s="12">
        <f t="shared" si="3"/>
        <v>34903.007999999994</v>
      </c>
      <c r="L77" s="12">
        <f t="shared" si="4"/>
        <v>131187.16800000001</v>
      </c>
      <c r="M77" s="12">
        <f t="shared" si="5"/>
        <v>230129.72307692308</v>
      </c>
      <c r="N77" s="12">
        <f t="shared" si="6"/>
        <v>732963.16800000006</v>
      </c>
      <c r="O77" s="14">
        <f>IF(OR($N77="",$N$162=""),"",IFERROR($N77/$N$162,0))</f>
        <v>1.3333352534069748E-3</v>
      </c>
    </row>
    <row r="78" spans="1:15" ht="15.6">
      <c r="A78" s="56">
        <v>2</v>
      </c>
      <c r="B78" s="64" t="s">
        <v>180</v>
      </c>
      <c r="C78" s="58" t="s">
        <v>165</v>
      </c>
      <c r="D78" s="34">
        <v>726.51600000000008</v>
      </c>
      <c r="E78" s="73">
        <v>0</v>
      </c>
      <c r="F78" s="73">
        <v>25.37039789901392</v>
      </c>
      <c r="G78" s="73">
        <v>144.52537865649205</v>
      </c>
      <c r="H78" s="12">
        <f t="shared" ref="H78:H141" si="7">IF(COUNTA($A78:$G78)=0,"",$D78*SUM($E78:$G78))</f>
        <v>123431.99999999999</v>
      </c>
      <c r="I78" s="12">
        <f t="shared" ref="I78:I141" si="8">IF($H78="","",$H78*$I$13)</f>
        <v>9874.56</v>
      </c>
      <c r="J78" s="12">
        <f t="shared" ref="J78:J141" si="9">IF($H78="","",$H78*$J$13)</f>
        <v>9874.56</v>
      </c>
      <c r="K78" s="12">
        <f t="shared" ref="K78:K141" si="10">IF($H78="","",($H78+$I78+$J78)*$K$13)</f>
        <v>7159.0560000000005</v>
      </c>
      <c r="L78" s="12">
        <f t="shared" ref="L78:L141" si="11">IF($H78="","",SUM($I78:$K78))</f>
        <v>26908.175999999999</v>
      </c>
      <c r="M78" s="12">
        <f t="shared" ref="M78:M141" si="12">IFERROR($N78/$D78,"")</f>
        <v>206.93305584460626</v>
      </c>
      <c r="N78" s="12">
        <f t="shared" ref="N78:N141" si="13">IF($H78="","",$H78+$L78)</f>
        <v>150340.17599999998</v>
      </c>
      <c r="O78" s="14">
        <f>IF(OR($N78="",$N$162=""),"",IFERROR($N78/$N$162,0))</f>
        <v>2.7348421505432201E-4</v>
      </c>
    </row>
    <row r="79" spans="1:15" ht="15.6">
      <c r="A79" s="56">
        <v>3</v>
      </c>
      <c r="B79" s="48" t="s">
        <v>183</v>
      </c>
      <c r="C79" s="58" t="s">
        <v>165</v>
      </c>
      <c r="D79" s="34">
        <v>671.14</v>
      </c>
      <c r="E79" s="73">
        <v>660</v>
      </c>
      <c r="F79" s="73">
        <v>15.561581786214502</v>
      </c>
      <c r="G79" s="73">
        <v>107.28015019221027</v>
      </c>
      <c r="H79" s="12">
        <f t="shared" si="7"/>
        <v>525396.39999999991</v>
      </c>
      <c r="I79" s="12">
        <f t="shared" si="8"/>
        <v>42031.711999999992</v>
      </c>
      <c r="J79" s="12">
        <f t="shared" si="9"/>
        <v>42031.711999999992</v>
      </c>
      <c r="K79" s="12">
        <f t="shared" si="10"/>
        <v>30472.991199999989</v>
      </c>
      <c r="L79" s="12">
        <f t="shared" si="11"/>
        <v>114536.41519999997</v>
      </c>
      <c r="M79" s="12">
        <f t="shared" si="12"/>
        <v>953.50122954972119</v>
      </c>
      <c r="N79" s="12">
        <f t="shared" si="13"/>
        <v>639932.81519999984</v>
      </c>
      <c r="O79" s="14">
        <f>IF(OR($N79="",$N$162=""),"",IFERROR($N79/$N$162,0))</f>
        <v>1.1641034905564729E-3</v>
      </c>
    </row>
    <row r="80" spans="1:15" ht="15.6">
      <c r="A80" s="56">
        <v>4</v>
      </c>
      <c r="B80" s="48" t="s">
        <v>240</v>
      </c>
      <c r="C80" s="86" t="s">
        <v>164</v>
      </c>
      <c r="D80" s="34">
        <v>3813.14</v>
      </c>
      <c r="E80" s="73">
        <v>0</v>
      </c>
      <c r="F80" s="73">
        <v>2.0542125387475938</v>
      </c>
      <c r="G80" s="73">
        <v>14.161557141883067</v>
      </c>
      <c r="H80" s="12">
        <f t="shared" si="7"/>
        <v>61833</v>
      </c>
      <c r="I80" s="12">
        <f t="shared" si="8"/>
        <v>4946.6400000000003</v>
      </c>
      <c r="J80" s="12">
        <f t="shared" si="9"/>
        <v>4946.6400000000003</v>
      </c>
      <c r="K80" s="12">
        <f t="shared" si="10"/>
        <v>3586.3140000000003</v>
      </c>
      <c r="L80" s="12">
        <f t="shared" si="11"/>
        <v>13479.594000000001</v>
      </c>
      <c r="M80" s="12">
        <f t="shared" si="12"/>
        <v>19.750807471008144</v>
      </c>
      <c r="N80" s="12">
        <f t="shared" si="13"/>
        <v>75312.593999999997</v>
      </c>
      <c r="O80" s="14">
        <f>IF(OR($N80="",$N$162=""),"",IFERROR($N80/$N$162,0))</f>
        <v>1.3700134057176335E-4</v>
      </c>
    </row>
    <row r="81" spans="1:15" ht="15.6">
      <c r="A81" s="56">
        <v>5</v>
      </c>
      <c r="B81" s="48" t="s">
        <v>241</v>
      </c>
      <c r="C81" s="58" t="s">
        <v>165</v>
      </c>
      <c r="D81" s="34">
        <v>762.62800000000004</v>
      </c>
      <c r="E81" s="73">
        <v>1036.1539308811111</v>
      </c>
      <c r="F81" s="73">
        <v>20.542125387475938</v>
      </c>
      <c r="G81" s="73">
        <v>141.61557141883065</v>
      </c>
      <c r="H81" s="12">
        <f t="shared" si="7"/>
        <v>913865.99999999988</v>
      </c>
      <c r="I81" s="12">
        <f t="shared" si="8"/>
        <v>73109.279999999999</v>
      </c>
      <c r="J81" s="12">
        <f t="shared" si="9"/>
        <v>73109.279999999999</v>
      </c>
      <c r="K81" s="12">
        <f t="shared" si="10"/>
        <v>53004.227999999996</v>
      </c>
      <c r="L81" s="12">
        <f t="shared" si="11"/>
        <v>199222.788</v>
      </c>
      <c r="M81" s="12">
        <f t="shared" si="12"/>
        <v>1459.5435625232747</v>
      </c>
      <c r="N81" s="12">
        <f t="shared" si="13"/>
        <v>1113088.7879999999</v>
      </c>
      <c r="O81" s="14">
        <f>IF(OR($N81="",$N$162=""),"",IFERROR($N81/$N$162,0))</f>
        <v>2.0248227823808497E-3</v>
      </c>
    </row>
    <row r="82" spans="1:15" ht="15.6">
      <c r="A82" s="56">
        <v>6</v>
      </c>
      <c r="B82" s="48" t="s">
        <v>242</v>
      </c>
      <c r="C82" s="58" t="s">
        <v>164</v>
      </c>
      <c r="D82" s="34">
        <v>6163.1399999999994</v>
      </c>
      <c r="E82" s="73">
        <v>1166.5942205564047</v>
      </c>
      <c r="F82" s="73">
        <v>304.29943178314954</v>
      </c>
      <c r="G82" s="73">
        <v>15.089710764318189</v>
      </c>
      <c r="H82" s="12">
        <f t="shared" si="7"/>
        <v>9158323.5044799987</v>
      </c>
      <c r="I82" s="12">
        <f t="shared" si="8"/>
        <v>732665.88035839994</v>
      </c>
      <c r="J82" s="12">
        <f t="shared" si="9"/>
        <v>732665.88035839994</v>
      </c>
      <c r="K82" s="12">
        <f t="shared" si="10"/>
        <v>531182.76325983997</v>
      </c>
      <c r="L82" s="12">
        <f t="shared" si="11"/>
        <v>1996514.5239766398</v>
      </c>
      <c r="M82" s="12">
        <f t="shared" si="12"/>
        <v>1809.9277362605167</v>
      </c>
      <c r="N82" s="12">
        <f t="shared" si="13"/>
        <v>11154838.028456639</v>
      </c>
      <c r="O82" s="14">
        <f>IF(OR($N82="",$N$162=""),"",IFERROR($N82/$N$162,0))</f>
        <v>2.0291795602730738E-2</v>
      </c>
    </row>
    <row r="83" spans="1:15" ht="15.6">
      <c r="A83" s="56">
        <v>7</v>
      </c>
      <c r="B83" s="48" t="s">
        <v>243</v>
      </c>
      <c r="C83" s="58" t="s">
        <v>164</v>
      </c>
      <c r="D83" s="34">
        <v>650</v>
      </c>
      <c r="E83" s="73">
        <v>857.46153846153845</v>
      </c>
      <c r="F83" s="73">
        <v>118.80615384615385</v>
      </c>
      <c r="G83" s="73">
        <v>13.846153846153847</v>
      </c>
      <c r="H83" s="12">
        <f t="shared" si="7"/>
        <v>643574</v>
      </c>
      <c r="I83" s="12">
        <f t="shared" si="8"/>
        <v>51485.919999999998</v>
      </c>
      <c r="J83" s="12">
        <f t="shared" si="9"/>
        <v>51485.919999999998</v>
      </c>
      <c r="K83" s="12">
        <f t="shared" si="10"/>
        <v>37327.292000000009</v>
      </c>
      <c r="L83" s="12">
        <f t="shared" si="11"/>
        <v>140299.13200000001</v>
      </c>
      <c r="M83" s="12">
        <f t="shared" si="12"/>
        <v>1205.9586646153846</v>
      </c>
      <c r="N83" s="12">
        <f t="shared" si="13"/>
        <v>783873.13199999998</v>
      </c>
      <c r="O83" s="14">
        <f>IF(OR($N83="",$N$162=""),"",IFERROR($N83/$N$162,0))</f>
        <v>1.4259457046743977E-3</v>
      </c>
    </row>
    <row r="84" spans="1:15" ht="15.6">
      <c r="A84" s="56">
        <v>8</v>
      </c>
      <c r="B84" s="48" t="s">
        <v>244</v>
      </c>
      <c r="C84" s="58" t="s">
        <v>164</v>
      </c>
      <c r="D84" s="34">
        <v>1302</v>
      </c>
      <c r="E84" s="73">
        <v>826.93241167434712</v>
      </c>
      <c r="F84" s="73">
        <v>152.29493087557603</v>
      </c>
      <c r="G84" s="73">
        <v>2.3041474654377878</v>
      </c>
      <c r="H84" s="12">
        <f t="shared" si="7"/>
        <v>1277954</v>
      </c>
      <c r="I84" s="12">
        <f t="shared" si="8"/>
        <v>102236.32</v>
      </c>
      <c r="J84" s="12">
        <f t="shared" si="9"/>
        <v>102236.32</v>
      </c>
      <c r="K84" s="12">
        <f t="shared" si="10"/>
        <v>74121.332000000009</v>
      </c>
      <c r="L84" s="12">
        <f t="shared" si="11"/>
        <v>278593.97200000001</v>
      </c>
      <c r="M84" s="12">
        <f t="shared" si="12"/>
        <v>1195.5053548387098</v>
      </c>
      <c r="N84" s="12">
        <f t="shared" si="13"/>
        <v>1556547.9720000001</v>
      </c>
      <c r="O84" s="14">
        <f>IF(OR($N84="",$N$162=""),"",IFERROR($N84/$N$162,0))</f>
        <v>2.8315205665105569E-3</v>
      </c>
    </row>
    <row r="85" spans="1:15" ht="15.6">
      <c r="A85" s="56">
        <v>9</v>
      </c>
      <c r="B85" s="48" t="s">
        <v>245</v>
      </c>
      <c r="C85" s="58" t="s">
        <v>246</v>
      </c>
      <c r="D85" s="34">
        <v>896</v>
      </c>
      <c r="E85" s="73">
        <v>1300.9151785714287</v>
      </c>
      <c r="F85" s="73">
        <v>411.42857142857144</v>
      </c>
      <c r="G85" s="73">
        <v>87.053571428571431</v>
      </c>
      <c r="H85" s="12">
        <f t="shared" si="7"/>
        <v>1612260</v>
      </c>
      <c r="I85" s="12">
        <f t="shared" si="8"/>
        <v>128980.8</v>
      </c>
      <c r="J85" s="12">
        <f t="shared" si="9"/>
        <v>128980.8</v>
      </c>
      <c r="K85" s="12">
        <f t="shared" si="10"/>
        <v>93511.080000000016</v>
      </c>
      <c r="L85" s="12">
        <f t="shared" si="11"/>
        <v>351472.68000000005</v>
      </c>
      <c r="M85" s="12">
        <f t="shared" si="12"/>
        <v>2191.6659375000004</v>
      </c>
      <c r="N85" s="12">
        <f t="shared" si="13"/>
        <v>1963732.6800000002</v>
      </c>
      <c r="O85" s="14">
        <f>IF(OR($N85="",$N$162=""),"",IFERROR($N85/$N$162,0))</f>
        <v>3.572231354620206E-3</v>
      </c>
    </row>
    <row r="86" spans="1:15" ht="15.6">
      <c r="A86" s="56">
        <v>10</v>
      </c>
      <c r="B86" s="48" t="s">
        <v>247</v>
      </c>
      <c r="C86" s="58" t="s">
        <v>164</v>
      </c>
      <c r="D86" s="34">
        <v>973.5</v>
      </c>
      <c r="E86" s="73">
        <v>1050.3338469440164</v>
      </c>
      <c r="F86" s="73">
        <v>145.15870570107859</v>
      </c>
      <c r="G86" s="73">
        <v>0</v>
      </c>
      <c r="H86" s="12">
        <f t="shared" si="7"/>
        <v>1163812</v>
      </c>
      <c r="I86" s="12">
        <f t="shared" si="8"/>
        <v>93104.960000000006</v>
      </c>
      <c r="J86" s="12">
        <f t="shared" si="9"/>
        <v>93104.960000000006</v>
      </c>
      <c r="K86" s="12">
        <f t="shared" si="10"/>
        <v>67501.096000000005</v>
      </c>
      <c r="L86" s="12">
        <f t="shared" si="11"/>
        <v>253711.016</v>
      </c>
      <c r="M86" s="12">
        <f t="shared" si="12"/>
        <v>1456.1099291217258</v>
      </c>
      <c r="N86" s="12">
        <f t="shared" si="13"/>
        <v>1417523.0160000001</v>
      </c>
      <c r="O86" s="14">
        <f>IF(OR($N86="",$N$162=""),"",IFERROR($N86/$N$162,0))</f>
        <v>2.57861989833107E-3</v>
      </c>
    </row>
    <row r="87" spans="1:15" ht="15.6">
      <c r="A87" s="56">
        <v>11</v>
      </c>
      <c r="B87" s="48" t="s">
        <v>248</v>
      </c>
      <c r="C87" s="58" t="s">
        <v>164</v>
      </c>
      <c r="D87" s="34">
        <v>11752.04</v>
      </c>
      <c r="E87" s="73">
        <v>150</v>
      </c>
      <c r="F87" s="73">
        <v>0</v>
      </c>
      <c r="G87" s="73">
        <v>0</v>
      </c>
      <c r="H87" s="12">
        <f t="shared" si="7"/>
        <v>1762806.0000000002</v>
      </c>
      <c r="I87" s="12">
        <f t="shared" si="8"/>
        <v>141024.48000000001</v>
      </c>
      <c r="J87" s="12">
        <f t="shared" si="9"/>
        <v>141024.48000000001</v>
      </c>
      <c r="K87" s="12">
        <f t="shared" si="10"/>
        <v>102242.74800000002</v>
      </c>
      <c r="L87" s="12">
        <f t="shared" si="11"/>
        <v>384291.70800000004</v>
      </c>
      <c r="M87" s="12">
        <f t="shared" si="12"/>
        <v>182.7</v>
      </c>
      <c r="N87" s="12">
        <f t="shared" si="13"/>
        <v>2147097.7080000001</v>
      </c>
      <c r="O87" s="14">
        <f>IF(OR($N87="",$N$162=""),"",IFERROR($N87/$N$162,0))</f>
        <v>3.9057911660108336E-3</v>
      </c>
    </row>
    <row r="88" spans="1:15" ht="15.6">
      <c r="A88" s="56">
        <v>12</v>
      </c>
      <c r="B88" s="48" t="s">
        <v>249</v>
      </c>
      <c r="C88" s="58" t="s">
        <v>246</v>
      </c>
      <c r="D88" s="34">
        <v>842</v>
      </c>
      <c r="E88" s="73">
        <v>2774.3467933491688</v>
      </c>
      <c r="F88" s="73">
        <v>342.95486935866984</v>
      </c>
      <c r="G88" s="73">
        <v>741.0926365795724</v>
      </c>
      <c r="H88" s="12">
        <f t="shared" si="7"/>
        <v>3248768</v>
      </c>
      <c r="I88" s="12">
        <f t="shared" si="8"/>
        <v>259901.44</v>
      </c>
      <c r="J88" s="12">
        <f t="shared" si="9"/>
        <v>259901.44</v>
      </c>
      <c r="K88" s="12">
        <f t="shared" si="10"/>
        <v>188428.54399999999</v>
      </c>
      <c r="L88" s="12">
        <f t="shared" si="11"/>
        <v>708231.424</v>
      </c>
      <c r="M88" s="12">
        <f t="shared" si="12"/>
        <v>4699.5242565320668</v>
      </c>
      <c r="N88" s="12">
        <f t="shared" si="13"/>
        <v>3956999.4240000001</v>
      </c>
      <c r="O88" s="14">
        <f>IF(OR($N88="",$N$162=""),"",IFERROR($N88/$N$162,0))</f>
        <v>7.1981882038174841E-3</v>
      </c>
    </row>
    <row r="89" spans="1:15" ht="15.6">
      <c r="A89" s="56">
        <v>13</v>
      </c>
      <c r="B89" s="48" t="s">
        <v>250</v>
      </c>
      <c r="C89" s="58" t="s">
        <v>185</v>
      </c>
      <c r="D89" s="34">
        <v>24</v>
      </c>
      <c r="E89" s="73">
        <v>5000</v>
      </c>
      <c r="F89" s="73">
        <v>2048</v>
      </c>
      <c r="G89" s="73">
        <v>0</v>
      </c>
      <c r="H89" s="12">
        <f t="shared" si="7"/>
        <v>169152</v>
      </c>
      <c r="I89" s="12">
        <f t="shared" si="8"/>
        <v>13532.16</v>
      </c>
      <c r="J89" s="12">
        <f t="shared" si="9"/>
        <v>13532.16</v>
      </c>
      <c r="K89" s="12">
        <f t="shared" si="10"/>
        <v>9810.8160000000007</v>
      </c>
      <c r="L89" s="12">
        <f t="shared" si="11"/>
        <v>36875.135999999999</v>
      </c>
      <c r="M89" s="12">
        <f t="shared" si="12"/>
        <v>8584.4639999999999</v>
      </c>
      <c r="N89" s="12">
        <f t="shared" si="13"/>
        <v>206027.136</v>
      </c>
      <c r="O89" s="14">
        <f>IF(OR($N89="",$N$162=""),"",IFERROR($N89/$N$162,0))</f>
        <v>3.7478451248354298E-4</v>
      </c>
    </row>
    <row r="90" spans="1:15" ht="15.6">
      <c r="A90" s="56">
        <v>14</v>
      </c>
      <c r="B90" s="48" t="s">
        <v>251</v>
      </c>
      <c r="C90" s="58" t="s">
        <v>185</v>
      </c>
      <c r="D90" s="34">
        <v>29</v>
      </c>
      <c r="E90" s="73">
        <v>57314.74</v>
      </c>
      <c r="F90" s="73">
        <v>7344</v>
      </c>
      <c r="G90" s="73">
        <v>3000</v>
      </c>
      <c r="H90" s="12">
        <f t="shared" si="7"/>
        <v>1962103.4599999997</v>
      </c>
      <c r="I90" s="12">
        <f t="shared" si="8"/>
        <v>156968.27679999999</v>
      </c>
      <c r="J90" s="12">
        <f t="shared" si="9"/>
        <v>156968.27679999999</v>
      </c>
      <c r="K90" s="12">
        <f t="shared" si="10"/>
        <v>113802.00068</v>
      </c>
      <c r="L90" s="12">
        <f t="shared" si="11"/>
        <v>427738.55427999998</v>
      </c>
      <c r="M90" s="12">
        <f t="shared" si="12"/>
        <v>82408.345319999993</v>
      </c>
      <c r="N90" s="12">
        <f t="shared" si="13"/>
        <v>2389842.0142799998</v>
      </c>
      <c r="O90" s="14">
        <f>IF(OR($N90="",$N$162=""),"",IFERROR($N90/$N$162,0))</f>
        <v>4.3473679808596578E-3</v>
      </c>
    </row>
    <row r="91" spans="1:15" ht="15.9" thickBot="1">
      <c r="A91" s="56">
        <v>15</v>
      </c>
      <c r="B91" s="48" t="s">
        <v>252</v>
      </c>
      <c r="C91" s="58" t="s">
        <v>253</v>
      </c>
      <c r="D91" s="34">
        <v>43</v>
      </c>
      <c r="E91" s="73">
        <v>35000</v>
      </c>
      <c r="F91" s="73">
        <v>3586.6046511627906</v>
      </c>
      <c r="G91" s="73">
        <v>4395.3488372093025</v>
      </c>
      <c r="H91" s="12">
        <f t="shared" si="7"/>
        <v>1848224.0000000002</v>
      </c>
      <c r="I91" s="12">
        <f t="shared" si="8"/>
        <v>147857.92000000001</v>
      </c>
      <c r="J91" s="12">
        <f t="shared" si="9"/>
        <v>147857.92000000001</v>
      </c>
      <c r="K91" s="12">
        <f t="shared" si="10"/>
        <v>107196.99200000003</v>
      </c>
      <c r="L91" s="12">
        <f t="shared" si="11"/>
        <v>402912.83200000005</v>
      </c>
      <c r="M91" s="12">
        <f t="shared" si="12"/>
        <v>52352.019348837217</v>
      </c>
      <c r="N91" s="12">
        <f t="shared" si="13"/>
        <v>2251136.8320000004</v>
      </c>
      <c r="O91" s="14">
        <f>IF(OR($N91="",$N$162=""),"",IFERROR($N91/$N$162,0))</f>
        <v>4.0950490139069233E-3</v>
      </c>
    </row>
    <row r="92" spans="1:15" ht="15.9" thickBot="1">
      <c r="A92" s="42" t="s">
        <v>300</v>
      </c>
      <c r="B92" s="55" t="s">
        <v>301</v>
      </c>
      <c r="C92" s="43"/>
      <c r="D92" s="44"/>
      <c r="E92" s="44"/>
      <c r="F92" s="44"/>
      <c r="G92" s="44"/>
      <c r="H92" s="12">
        <f t="shared" si="7"/>
        <v>0</v>
      </c>
      <c r="I92" s="12">
        <f t="shared" si="8"/>
        <v>0</v>
      </c>
      <c r="J92" s="12">
        <f t="shared" si="9"/>
        <v>0</v>
      </c>
      <c r="K92" s="12">
        <f t="shared" si="10"/>
        <v>0</v>
      </c>
      <c r="L92" s="12">
        <f t="shared" si="11"/>
        <v>0</v>
      </c>
      <c r="M92" s="12" t="str">
        <f t="shared" si="12"/>
        <v/>
      </c>
      <c r="N92" s="12">
        <f t="shared" si="13"/>
        <v>0</v>
      </c>
      <c r="O92" s="14">
        <f>IF(OR($N92="",$N$162=""),"",IFERROR($N92/$N$162,0))</f>
        <v>0</v>
      </c>
    </row>
    <row r="93" spans="1:15" ht="15.9" thickBot="1">
      <c r="A93" s="56">
        <v>1</v>
      </c>
      <c r="B93" s="48" t="s">
        <v>254</v>
      </c>
      <c r="C93" s="58" t="s">
        <v>153</v>
      </c>
      <c r="D93" s="34">
        <v>1</v>
      </c>
      <c r="E93" s="73">
        <v>84153.8</v>
      </c>
      <c r="F93" s="73">
        <v>22032</v>
      </c>
      <c r="G93" s="73">
        <v>24000</v>
      </c>
      <c r="H93" s="12">
        <f t="shared" si="7"/>
        <v>130185.8</v>
      </c>
      <c r="I93" s="12">
        <f t="shared" si="8"/>
        <v>10414.864</v>
      </c>
      <c r="J93" s="12">
        <f t="shared" si="9"/>
        <v>10414.864</v>
      </c>
      <c r="K93" s="12">
        <f t="shared" si="10"/>
        <v>7550.7763999999997</v>
      </c>
      <c r="L93" s="12">
        <f t="shared" si="11"/>
        <v>28380.504399999998</v>
      </c>
      <c r="M93" s="12">
        <f t="shared" si="12"/>
        <v>158566.30439999999</v>
      </c>
      <c r="N93" s="12">
        <f t="shared" si="13"/>
        <v>158566.30439999999</v>
      </c>
      <c r="O93" s="14">
        <f>IF(OR($N93="",$N$162=""),"",IFERROR($N93/$N$162,0))</f>
        <v>2.8844838716231573E-4</v>
      </c>
    </row>
    <row r="94" spans="1:15" ht="15.9" thickBot="1">
      <c r="A94" s="42" t="s">
        <v>302</v>
      </c>
      <c r="B94" s="55" t="s">
        <v>255</v>
      </c>
      <c r="C94" s="43"/>
      <c r="D94" s="44"/>
      <c r="E94" s="44"/>
      <c r="F94" s="44"/>
      <c r="G94" s="44"/>
      <c r="H94" s="12">
        <f t="shared" si="7"/>
        <v>0</v>
      </c>
      <c r="I94" s="12">
        <f t="shared" si="8"/>
        <v>0</v>
      </c>
      <c r="J94" s="12">
        <f t="shared" si="9"/>
        <v>0</v>
      </c>
      <c r="K94" s="12">
        <f t="shared" si="10"/>
        <v>0</v>
      </c>
      <c r="L94" s="12">
        <f t="shared" si="11"/>
        <v>0</v>
      </c>
      <c r="M94" s="12" t="str">
        <f t="shared" si="12"/>
        <v/>
      </c>
      <c r="N94" s="12">
        <f t="shared" si="13"/>
        <v>0</v>
      </c>
      <c r="O94" s="14">
        <f>IF(OR($N94="",$N$162=""),"",IFERROR($N94/$N$162,0))</f>
        <v>0</v>
      </c>
    </row>
    <row r="95" spans="1:15" ht="15.9" thickBot="1">
      <c r="A95" s="56">
        <v>1</v>
      </c>
      <c r="B95" s="57" t="s">
        <v>255</v>
      </c>
      <c r="C95" s="58" t="s">
        <v>153</v>
      </c>
      <c r="D95" s="34">
        <v>1</v>
      </c>
      <c r="E95" s="73">
        <v>89828</v>
      </c>
      <c r="F95" s="73">
        <v>14688</v>
      </c>
      <c r="G95" s="73">
        <v>12000</v>
      </c>
      <c r="H95" s="12">
        <f t="shared" si="7"/>
        <v>116516</v>
      </c>
      <c r="I95" s="12">
        <f t="shared" si="8"/>
        <v>9321.2800000000007</v>
      </c>
      <c r="J95" s="12">
        <f t="shared" si="9"/>
        <v>9321.2800000000007</v>
      </c>
      <c r="K95" s="12">
        <f t="shared" si="10"/>
        <v>6757.9279999999999</v>
      </c>
      <c r="L95" s="12">
        <f t="shared" si="11"/>
        <v>25400.488000000001</v>
      </c>
      <c r="M95" s="12">
        <f t="shared" si="12"/>
        <v>141916.48800000001</v>
      </c>
      <c r="N95" s="12">
        <f t="shared" si="13"/>
        <v>141916.48800000001</v>
      </c>
      <c r="O95" s="14">
        <f>IF(OR($N95="",$N$162=""),"",IFERROR($N95/$N$162,0))</f>
        <v>2.5816066175116169E-4</v>
      </c>
    </row>
    <row r="96" spans="1:15" ht="15.9" thickBot="1">
      <c r="A96" s="42" t="s">
        <v>303</v>
      </c>
      <c r="B96" s="55" t="s">
        <v>256</v>
      </c>
      <c r="C96" s="43"/>
      <c r="D96" s="44"/>
      <c r="E96" s="44"/>
      <c r="F96" s="44"/>
      <c r="G96" s="44"/>
      <c r="H96" s="12">
        <f t="shared" si="7"/>
        <v>0</v>
      </c>
      <c r="I96" s="12">
        <f t="shared" si="8"/>
        <v>0</v>
      </c>
      <c r="J96" s="12">
        <f t="shared" si="9"/>
        <v>0</v>
      </c>
      <c r="K96" s="12">
        <f t="shared" si="10"/>
        <v>0</v>
      </c>
      <c r="L96" s="12">
        <f t="shared" si="11"/>
        <v>0</v>
      </c>
      <c r="M96" s="12" t="str">
        <f t="shared" si="12"/>
        <v/>
      </c>
      <c r="N96" s="12">
        <f t="shared" si="13"/>
        <v>0</v>
      </c>
      <c r="O96" s="14">
        <f>IF(OR($N96="",$N$162=""),"",IFERROR($N96/$N$162,0))</f>
        <v>0</v>
      </c>
    </row>
    <row r="97" spans="1:15" ht="15.9" thickBot="1">
      <c r="A97" s="56">
        <v>1</v>
      </c>
      <c r="B97" s="57" t="s">
        <v>257</v>
      </c>
      <c r="C97" s="58" t="s">
        <v>153</v>
      </c>
      <c r="D97" s="34">
        <v>1</v>
      </c>
      <c r="E97" s="73">
        <v>3935000</v>
      </c>
      <c r="F97" s="73">
        <v>0</v>
      </c>
      <c r="G97" s="73">
        <v>0</v>
      </c>
      <c r="H97" s="12">
        <f t="shared" si="7"/>
        <v>3935000</v>
      </c>
      <c r="I97" s="12">
        <f t="shared" si="8"/>
        <v>314800</v>
      </c>
      <c r="J97" s="12">
        <f t="shared" si="9"/>
        <v>314800</v>
      </c>
      <c r="K97" s="12">
        <f t="shared" si="10"/>
        <v>228230</v>
      </c>
      <c r="L97" s="12">
        <f t="shared" si="11"/>
        <v>857830</v>
      </c>
      <c r="M97" s="12">
        <f t="shared" si="12"/>
        <v>4792830</v>
      </c>
      <c r="N97" s="12">
        <f t="shared" si="13"/>
        <v>4792830</v>
      </c>
      <c r="O97" s="14">
        <f>IF(OR($N97="",$N$162=""),"",IFERROR($N97/$N$162,0))</f>
        <v>8.7186498334204839E-3</v>
      </c>
    </row>
    <row r="98" spans="1:15" ht="15.9" thickBot="1">
      <c r="A98" s="42" t="s">
        <v>304</v>
      </c>
      <c r="B98" s="55" t="s">
        <v>305</v>
      </c>
      <c r="C98" s="43"/>
      <c r="D98" s="44"/>
      <c r="E98" s="44"/>
      <c r="F98" s="44"/>
      <c r="G98" s="44"/>
      <c r="H98" s="12">
        <f t="shared" si="7"/>
        <v>0</v>
      </c>
      <c r="I98" s="12">
        <f t="shared" si="8"/>
        <v>0</v>
      </c>
      <c r="J98" s="12">
        <f t="shared" si="9"/>
        <v>0</v>
      </c>
      <c r="K98" s="12">
        <f t="shared" si="10"/>
        <v>0</v>
      </c>
      <c r="L98" s="12">
        <f t="shared" si="11"/>
        <v>0</v>
      </c>
      <c r="M98" s="12" t="str">
        <f t="shared" si="12"/>
        <v/>
      </c>
      <c r="N98" s="12">
        <f t="shared" si="13"/>
        <v>0</v>
      </c>
      <c r="O98" s="14">
        <f>IF(OR($N98="",$N$162=""),"",IFERROR($N98/$N$162,0))</f>
        <v>0</v>
      </c>
    </row>
    <row r="99" spans="1:15" ht="15.6">
      <c r="A99" s="87">
        <v>1</v>
      </c>
      <c r="B99" s="88" t="s">
        <v>258</v>
      </c>
      <c r="C99" s="89" t="s">
        <v>165</v>
      </c>
      <c r="D99" s="59">
        <v>62.973000000000013</v>
      </c>
      <c r="E99" s="85">
        <v>0</v>
      </c>
      <c r="F99" s="85">
        <v>48.782811681196691</v>
      </c>
      <c r="G99" s="85">
        <v>95.278929064837286</v>
      </c>
      <c r="H99" s="12">
        <f t="shared" si="7"/>
        <v>9072</v>
      </c>
      <c r="I99" s="12">
        <f t="shared" si="8"/>
        <v>725.76</v>
      </c>
      <c r="J99" s="12">
        <f t="shared" si="9"/>
        <v>725.76</v>
      </c>
      <c r="K99" s="12">
        <f t="shared" si="10"/>
        <v>526.17600000000004</v>
      </c>
      <c r="L99" s="12">
        <f t="shared" si="11"/>
        <v>1977.6959999999999</v>
      </c>
      <c r="M99" s="12">
        <f t="shared" si="12"/>
        <v>175.46720022866938</v>
      </c>
      <c r="N99" s="12">
        <f t="shared" si="13"/>
        <v>11049.696</v>
      </c>
      <c r="O99" s="14">
        <f>IF(OR($N99="",$N$162=""),"",IFERROR($N99/$N$162,0))</f>
        <v>2.0100531458396602E-5</v>
      </c>
    </row>
    <row r="100" spans="1:15" ht="15.6">
      <c r="A100" s="56">
        <v>2</v>
      </c>
      <c r="B100" s="57" t="s">
        <v>182</v>
      </c>
      <c r="C100" s="58" t="s">
        <v>165</v>
      </c>
      <c r="D100" s="34">
        <v>30.539500000000004</v>
      </c>
      <c r="E100" s="73">
        <v>1150</v>
      </c>
      <c r="F100" s="73">
        <v>683.96666612092531</v>
      </c>
      <c r="G100" s="73">
        <v>392.93374154783146</v>
      </c>
      <c r="H100" s="12">
        <f t="shared" si="7"/>
        <v>68008.425000000017</v>
      </c>
      <c r="I100" s="12">
        <f t="shared" si="8"/>
        <v>5440.6740000000018</v>
      </c>
      <c r="J100" s="12">
        <f t="shared" si="9"/>
        <v>5440.6740000000018</v>
      </c>
      <c r="K100" s="12">
        <f t="shared" si="10"/>
        <v>3944.4886500000011</v>
      </c>
      <c r="L100" s="12">
        <f t="shared" si="11"/>
        <v>14825.836650000005</v>
      </c>
      <c r="M100" s="12">
        <f t="shared" si="12"/>
        <v>2712.3646965405464</v>
      </c>
      <c r="N100" s="12">
        <f t="shared" si="13"/>
        <v>82834.261650000029</v>
      </c>
      <c r="O100" s="14">
        <f>IF(OR($N100="",$N$162=""),"",IFERROR($N100/$N$162,0))</f>
        <v>1.5068402625093767E-4</v>
      </c>
    </row>
    <row r="101" spans="1:15" ht="15.6">
      <c r="A101" s="56">
        <v>3</v>
      </c>
      <c r="B101" s="57" t="s">
        <v>183</v>
      </c>
      <c r="C101" s="58" t="s">
        <v>165</v>
      </c>
      <c r="D101" s="34">
        <v>58.75</v>
      </c>
      <c r="E101" s="73">
        <v>632.5</v>
      </c>
      <c r="F101" s="73">
        <v>622.19574468085102</v>
      </c>
      <c r="G101" s="73">
        <v>357.44680851063828</v>
      </c>
      <c r="H101" s="12">
        <f t="shared" si="7"/>
        <v>94713.375</v>
      </c>
      <c r="I101" s="12">
        <f t="shared" si="8"/>
        <v>7577.07</v>
      </c>
      <c r="J101" s="12">
        <f t="shared" si="9"/>
        <v>7577.07</v>
      </c>
      <c r="K101" s="12">
        <f t="shared" si="10"/>
        <v>5493.3757500000011</v>
      </c>
      <c r="L101" s="12">
        <f t="shared" si="11"/>
        <v>20647.515749999999</v>
      </c>
      <c r="M101" s="12">
        <f t="shared" si="12"/>
        <v>1963.5896297872339</v>
      </c>
      <c r="N101" s="12">
        <f t="shared" si="13"/>
        <v>115360.89074999999</v>
      </c>
      <c r="O101" s="14">
        <f>IF(OR($N101="",$N$162=""),"",IFERROR($N101/$N$162,0))</f>
        <v>2.0985330398130668E-4</v>
      </c>
    </row>
    <row r="102" spans="1:15" ht="15.6">
      <c r="A102" s="56">
        <v>4</v>
      </c>
      <c r="B102" s="57" t="s">
        <v>186</v>
      </c>
      <c r="C102" s="58" t="s">
        <v>165</v>
      </c>
      <c r="D102" s="34">
        <v>38.750500000000002</v>
      </c>
      <c r="E102" s="73">
        <v>5200</v>
      </c>
      <c r="F102" s="73">
        <v>237.10661797912283</v>
      </c>
      <c r="G102" s="73">
        <v>77.418355892182035</v>
      </c>
      <c r="H102" s="12">
        <f t="shared" si="7"/>
        <v>213690.60000000003</v>
      </c>
      <c r="I102" s="12">
        <f t="shared" si="8"/>
        <v>17095.248000000003</v>
      </c>
      <c r="J102" s="12">
        <f t="shared" si="9"/>
        <v>17095.248000000003</v>
      </c>
      <c r="K102" s="12">
        <f t="shared" si="10"/>
        <v>12394.054800000002</v>
      </c>
      <c r="L102" s="12">
        <f t="shared" si="11"/>
        <v>46584.550800000012</v>
      </c>
      <c r="M102" s="12">
        <f t="shared" si="12"/>
        <v>6716.6914181752509</v>
      </c>
      <c r="N102" s="12">
        <f t="shared" si="13"/>
        <v>260275.15080000006</v>
      </c>
      <c r="O102" s="14">
        <f>IF(OR($N102="",$N$162=""),"",IFERROR($N102/$N$162,0))</f>
        <v>4.7346722086239487E-4</v>
      </c>
    </row>
    <row r="103" spans="1:15" ht="15.6">
      <c r="A103" s="56">
        <v>5</v>
      </c>
      <c r="B103" s="57" t="s">
        <v>189</v>
      </c>
      <c r="C103" s="58" t="s">
        <v>196</v>
      </c>
      <c r="D103" s="34">
        <v>5812.5750000000007</v>
      </c>
      <c r="E103" s="73">
        <v>63</v>
      </c>
      <c r="F103" s="73">
        <v>6.8713091874083334</v>
      </c>
      <c r="G103" s="73">
        <v>3.0967342356872809</v>
      </c>
      <c r="H103" s="12">
        <f t="shared" si="7"/>
        <v>424132.22500000003</v>
      </c>
      <c r="I103" s="12">
        <f t="shared" si="8"/>
        <v>33930.578000000001</v>
      </c>
      <c r="J103" s="12">
        <f t="shared" si="9"/>
        <v>33930.578000000001</v>
      </c>
      <c r="K103" s="12">
        <f t="shared" si="10"/>
        <v>24599.66905</v>
      </c>
      <c r="L103" s="12">
        <f t="shared" si="11"/>
        <v>92460.825049999999</v>
      </c>
      <c r="M103" s="12">
        <f t="shared" si="12"/>
        <v>88.875076889330458</v>
      </c>
      <c r="N103" s="12">
        <f t="shared" si="13"/>
        <v>516593.05005000002</v>
      </c>
      <c r="O103" s="14">
        <f>IF(OR($N103="",$N$162=""),"",IFERROR($N103/$N$162,0))</f>
        <v>9.3973579487789314E-4</v>
      </c>
    </row>
    <row r="104" spans="1:15" ht="15.6">
      <c r="A104" s="56">
        <v>6</v>
      </c>
      <c r="B104" s="57" t="s">
        <v>259</v>
      </c>
      <c r="C104" s="58" t="s">
        <v>164</v>
      </c>
      <c r="D104" s="34">
        <v>45.9</v>
      </c>
      <c r="E104" s="73">
        <v>874.52769629629631</v>
      </c>
      <c r="F104" s="73">
        <v>366.23093681917214</v>
      </c>
      <c r="G104" s="73">
        <v>130.718954248366</v>
      </c>
      <c r="H104" s="12">
        <f t="shared" si="7"/>
        <v>62950.821260000004</v>
      </c>
      <c r="I104" s="12">
        <f t="shared" si="8"/>
        <v>5036.0657008000007</v>
      </c>
      <c r="J104" s="12">
        <f t="shared" si="9"/>
        <v>5036.0657008000007</v>
      </c>
      <c r="K104" s="12">
        <f t="shared" si="10"/>
        <v>3651.1476330800006</v>
      </c>
      <c r="L104" s="12">
        <f t="shared" si="11"/>
        <v>13723.279034680003</v>
      </c>
      <c r="M104" s="12">
        <f t="shared" si="12"/>
        <v>1670.4597014091507</v>
      </c>
      <c r="N104" s="12">
        <f t="shared" si="13"/>
        <v>76674.100294680014</v>
      </c>
      <c r="O104" s="14">
        <f>IF(OR($N104="",$N$162=""),"",IFERROR($N104/$N$162,0))</f>
        <v>1.3947806030296868E-4</v>
      </c>
    </row>
    <row r="105" spans="1:15" ht="15.6">
      <c r="A105" s="56">
        <v>7</v>
      </c>
      <c r="B105" s="57" t="s">
        <v>260</v>
      </c>
      <c r="C105" s="58" t="s">
        <v>164</v>
      </c>
      <c r="D105" s="34">
        <v>91.8</v>
      </c>
      <c r="E105" s="73">
        <v>125.2723311546841</v>
      </c>
      <c r="F105" s="73">
        <v>275.5773420479303</v>
      </c>
      <c r="G105" s="73">
        <v>65.359477124183002</v>
      </c>
      <c r="H105" s="12">
        <f t="shared" si="7"/>
        <v>42798</v>
      </c>
      <c r="I105" s="12">
        <f t="shared" si="8"/>
        <v>3423.84</v>
      </c>
      <c r="J105" s="12">
        <f t="shared" si="9"/>
        <v>3423.84</v>
      </c>
      <c r="K105" s="12">
        <f t="shared" si="10"/>
        <v>2482.2839999999997</v>
      </c>
      <c r="L105" s="12">
        <f t="shared" si="11"/>
        <v>9329.9639999999999</v>
      </c>
      <c r="M105" s="12">
        <f t="shared" si="12"/>
        <v>567.84274509803925</v>
      </c>
      <c r="N105" s="12">
        <f t="shared" si="13"/>
        <v>52127.964</v>
      </c>
      <c r="O105" s="14">
        <f>IF(OR($N105="",$N$162=""),"",IFERROR($N105/$N$162,0))</f>
        <v>9.4826118315306191E-5</v>
      </c>
    </row>
    <row r="106" spans="1:15" ht="15.6">
      <c r="A106" s="56">
        <v>8</v>
      </c>
      <c r="B106" s="57" t="s">
        <v>195</v>
      </c>
      <c r="C106" s="58" t="s">
        <v>196</v>
      </c>
      <c r="D106" s="34">
        <v>9402.1314999999995</v>
      </c>
      <c r="E106" s="73">
        <v>114.084144348013</v>
      </c>
      <c r="F106" s="73">
        <v>31.36650449953822</v>
      </c>
      <c r="G106" s="73">
        <v>15.76663759701723</v>
      </c>
      <c r="H106" s="12">
        <f t="shared" si="7"/>
        <v>1515786.1272249997</v>
      </c>
      <c r="I106" s="12">
        <f t="shared" si="8"/>
        <v>121262.89017799997</v>
      </c>
      <c r="J106" s="12">
        <f t="shared" si="9"/>
        <v>121262.89017799997</v>
      </c>
      <c r="K106" s="12">
        <f t="shared" si="10"/>
        <v>87915.595379049992</v>
      </c>
      <c r="L106" s="12">
        <f t="shared" si="11"/>
        <v>330441.37573504995</v>
      </c>
      <c r="M106" s="12">
        <f t="shared" si="12"/>
        <v>196.36265488948433</v>
      </c>
      <c r="N106" s="12">
        <f t="shared" si="13"/>
        <v>1846227.5029600495</v>
      </c>
      <c r="O106" s="14">
        <f>IF(OR($N106="",$N$162=""),"",IFERROR($N106/$N$162,0))</f>
        <v>3.3584773737309593E-3</v>
      </c>
    </row>
    <row r="107" spans="1:15" ht="15.6">
      <c r="A107" s="56">
        <v>9</v>
      </c>
      <c r="B107" s="57" t="s">
        <v>261</v>
      </c>
      <c r="C107" s="58" t="s">
        <v>164</v>
      </c>
      <c r="D107" s="34">
        <v>248.6</v>
      </c>
      <c r="E107" s="73">
        <v>900</v>
      </c>
      <c r="F107" s="73">
        <v>0</v>
      </c>
      <c r="G107" s="73">
        <v>0</v>
      </c>
      <c r="H107" s="12">
        <f t="shared" si="7"/>
        <v>223740</v>
      </c>
      <c r="I107" s="12">
        <f t="shared" si="8"/>
        <v>17899.2</v>
      </c>
      <c r="J107" s="12">
        <f t="shared" si="9"/>
        <v>17899.2</v>
      </c>
      <c r="K107" s="12">
        <f t="shared" si="10"/>
        <v>12976.920000000002</v>
      </c>
      <c r="L107" s="12">
        <f t="shared" si="11"/>
        <v>48775.320000000007</v>
      </c>
      <c r="M107" s="12">
        <f t="shared" si="12"/>
        <v>1096.2</v>
      </c>
      <c r="N107" s="12">
        <f t="shared" si="13"/>
        <v>272515.32</v>
      </c>
      <c r="O107" s="14">
        <f>IF(OR($N107="",$N$162=""),"",IFERROR($N107/$N$162,0))</f>
        <v>4.9573334529339245E-4</v>
      </c>
    </row>
    <row r="108" spans="1:15" ht="15.6">
      <c r="A108" s="56">
        <v>10</v>
      </c>
      <c r="B108" s="57" t="s">
        <v>262</v>
      </c>
      <c r="C108" s="58" t="s">
        <v>196</v>
      </c>
      <c r="D108" s="34">
        <v>13234.88</v>
      </c>
      <c r="E108" s="73">
        <v>114.03561135423969</v>
      </c>
      <c r="F108" s="73">
        <v>31.567494378490778</v>
      </c>
      <c r="G108" s="73">
        <v>14.00088251650185</v>
      </c>
      <c r="H108" s="12">
        <f t="shared" si="7"/>
        <v>2112339.6319999998</v>
      </c>
      <c r="I108" s="12">
        <f t="shared" si="8"/>
        <v>168987.17055999997</v>
      </c>
      <c r="J108" s="12">
        <f t="shared" si="9"/>
        <v>168987.17055999997</v>
      </c>
      <c r="K108" s="12">
        <f t="shared" si="10"/>
        <v>122515.69865599999</v>
      </c>
      <c r="L108" s="12">
        <f t="shared" si="11"/>
        <v>460490.03977599996</v>
      </c>
      <c r="M108" s="12">
        <f t="shared" si="12"/>
        <v>194.39765768756496</v>
      </c>
      <c r="N108" s="12">
        <f t="shared" si="13"/>
        <v>2572829.6717759995</v>
      </c>
      <c r="O108" s="14">
        <f>IF(OR($N108="",$N$162=""),"",IFERROR($N108/$N$162,0))</f>
        <v>4.6802413165601738E-3</v>
      </c>
    </row>
    <row r="109" spans="1:15" ht="15.6">
      <c r="A109" s="56">
        <v>11</v>
      </c>
      <c r="B109" s="57" t="s">
        <v>263</v>
      </c>
      <c r="C109" s="58" t="s">
        <v>164</v>
      </c>
      <c r="D109" s="34">
        <v>192</v>
      </c>
      <c r="E109" s="73">
        <v>180.20833333333334</v>
      </c>
      <c r="F109" s="73">
        <v>297.5625</v>
      </c>
      <c r="G109" s="73">
        <v>0</v>
      </c>
      <c r="H109" s="12">
        <f t="shared" si="7"/>
        <v>91732</v>
      </c>
      <c r="I109" s="12">
        <f t="shared" si="8"/>
        <v>7338.56</v>
      </c>
      <c r="J109" s="12">
        <f t="shared" si="9"/>
        <v>7338.56</v>
      </c>
      <c r="K109" s="12">
        <f t="shared" si="10"/>
        <v>5320.4560000000001</v>
      </c>
      <c r="L109" s="12">
        <f t="shared" si="11"/>
        <v>19997.576000000001</v>
      </c>
      <c r="M109" s="12">
        <f t="shared" si="12"/>
        <v>581.92487500000004</v>
      </c>
      <c r="N109" s="12">
        <f t="shared" si="13"/>
        <v>111729.576</v>
      </c>
      <c r="O109" s="14">
        <f>IF(OR($N109="",$N$162=""),"",IFERROR($N109/$N$162,0))</f>
        <v>2.0324756963642385E-4</v>
      </c>
    </row>
    <row r="110" spans="1:15" ht="15.6">
      <c r="A110" s="56">
        <v>12</v>
      </c>
      <c r="B110" s="57" t="s">
        <v>264</v>
      </c>
      <c r="C110" s="58" t="s">
        <v>164</v>
      </c>
      <c r="D110" s="34">
        <v>34.4</v>
      </c>
      <c r="E110" s="73">
        <v>5148.375</v>
      </c>
      <c r="F110" s="73">
        <v>1954.6511627906978</v>
      </c>
      <c r="G110" s="73">
        <v>0</v>
      </c>
      <c r="H110" s="12">
        <f t="shared" si="7"/>
        <v>244344.09999999998</v>
      </c>
      <c r="I110" s="12">
        <f t="shared" si="8"/>
        <v>19547.527999999998</v>
      </c>
      <c r="J110" s="12">
        <f t="shared" si="9"/>
        <v>19547.527999999998</v>
      </c>
      <c r="K110" s="12">
        <f t="shared" si="10"/>
        <v>14171.957799999998</v>
      </c>
      <c r="L110" s="12">
        <f t="shared" si="11"/>
        <v>53267.013799999993</v>
      </c>
      <c r="M110" s="12">
        <f t="shared" si="12"/>
        <v>8651.4858662790703</v>
      </c>
      <c r="N110" s="12">
        <f t="shared" si="13"/>
        <v>297611.11379999999</v>
      </c>
      <c r="O110" s="14">
        <f>IF(OR($N110="",$N$162=""),"",IFERROR($N110/$N$162,0))</f>
        <v>5.4138517071468308E-4</v>
      </c>
    </row>
    <row r="111" spans="1:15" ht="15.6">
      <c r="A111" s="56">
        <v>13</v>
      </c>
      <c r="B111" s="57" t="s">
        <v>265</v>
      </c>
      <c r="C111" s="58" t="s">
        <v>164</v>
      </c>
      <c r="D111" s="34">
        <v>307.39999999999998</v>
      </c>
      <c r="E111" s="73">
        <v>1120.6245933636956</v>
      </c>
      <c r="F111" s="73">
        <v>82.026675341574503</v>
      </c>
      <c r="G111" s="73">
        <v>0</v>
      </c>
      <c r="H111" s="12">
        <f t="shared" si="7"/>
        <v>369695</v>
      </c>
      <c r="I111" s="12">
        <f t="shared" si="8"/>
        <v>29575.600000000002</v>
      </c>
      <c r="J111" s="12">
        <f t="shared" si="9"/>
        <v>29575.600000000002</v>
      </c>
      <c r="K111" s="12">
        <f t="shared" si="10"/>
        <v>21442.309999999998</v>
      </c>
      <c r="L111" s="12">
        <f t="shared" si="11"/>
        <v>80593.510000000009</v>
      </c>
      <c r="M111" s="12">
        <f t="shared" si="12"/>
        <v>1464.829245283019</v>
      </c>
      <c r="N111" s="12">
        <f t="shared" si="13"/>
        <v>450288.51</v>
      </c>
      <c r="O111" s="14">
        <f>IF(OR($N111="",$N$162=""),"",IFERROR($N111/$N$162,0))</f>
        <v>8.191210292671883E-4</v>
      </c>
    </row>
    <row r="112" spans="1:15" ht="15.6">
      <c r="A112" s="56">
        <v>14</v>
      </c>
      <c r="B112" s="57" t="s">
        <v>220</v>
      </c>
      <c r="C112" s="58" t="s">
        <v>153</v>
      </c>
      <c r="D112" s="34">
        <v>1</v>
      </c>
      <c r="E112" s="73">
        <v>10200</v>
      </c>
      <c r="F112" s="73">
        <v>4161</v>
      </c>
      <c r="G112" s="73">
        <v>0</v>
      </c>
      <c r="H112" s="12">
        <f t="shared" si="7"/>
        <v>14361</v>
      </c>
      <c r="I112" s="12">
        <f t="shared" si="8"/>
        <v>1148.8800000000001</v>
      </c>
      <c r="J112" s="12">
        <f t="shared" si="9"/>
        <v>1148.8800000000001</v>
      </c>
      <c r="K112" s="12">
        <f t="shared" si="10"/>
        <v>832.9380000000001</v>
      </c>
      <c r="L112" s="12">
        <f t="shared" si="11"/>
        <v>3130.6980000000003</v>
      </c>
      <c r="M112" s="12">
        <f t="shared" si="12"/>
        <v>17491.698</v>
      </c>
      <c r="N112" s="12">
        <f t="shared" si="13"/>
        <v>17491.698</v>
      </c>
      <c r="O112" s="14">
        <f>IF(OR($N112="",$N$162=""),"",IFERROR($N112/$N$162,0))</f>
        <v>3.1819194474650971E-5</v>
      </c>
    </row>
    <row r="113" spans="1:15" ht="15.9" thickBot="1">
      <c r="A113" s="56">
        <v>15</v>
      </c>
      <c r="B113" s="90" t="s">
        <v>223</v>
      </c>
      <c r="C113" s="91" t="s">
        <v>153</v>
      </c>
      <c r="D113" s="92">
        <v>1</v>
      </c>
      <c r="E113" s="93">
        <v>172039.25821940103</v>
      </c>
      <c r="F113" s="93">
        <v>50430</v>
      </c>
      <c r="G113" s="93">
        <v>0</v>
      </c>
      <c r="H113" s="12">
        <f t="shared" si="7"/>
        <v>222469.25821940103</v>
      </c>
      <c r="I113" s="12">
        <f t="shared" si="8"/>
        <v>17797.540657552083</v>
      </c>
      <c r="J113" s="12">
        <f t="shared" si="9"/>
        <v>17797.540657552083</v>
      </c>
      <c r="K113" s="12">
        <f t="shared" si="10"/>
        <v>12903.21697672526</v>
      </c>
      <c r="L113" s="12">
        <f t="shared" si="11"/>
        <v>48498.298291829429</v>
      </c>
      <c r="M113" s="12">
        <f t="shared" si="12"/>
        <v>270967.55651123048</v>
      </c>
      <c r="N113" s="12">
        <f t="shared" si="13"/>
        <v>270967.55651123048</v>
      </c>
      <c r="O113" s="14">
        <f>IF(OR($N113="",$N$162=""),"",IFERROR($N113/$N$162,0))</f>
        <v>4.9291780460375086E-4</v>
      </c>
    </row>
    <row r="114" spans="1:15" ht="15.9" thickBot="1">
      <c r="A114" s="42" t="s">
        <v>306</v>
      </c>
      <c r="B114" s="55" t="s">
        <v>307</v>
      </c>
      <c r="C114" s="43"/>
      <c r="D114" s="44"/>
      <c r="E114" s="44"/>
      <c r="F114" s="44"/>
      <c r="G114" s="44"/>
      <c r="H114" s="12">
        <f t="shared" si="7"/>
        <v>0</v>
      </c>
      <c r="I114" s="12">
        <f t="shared" si="8"/>
        <v>0</v>
      </c>
      <c r="J114" s="12">
        <f t="shared" si="9"/>
        <v>0</v>
      </c>
      <c r="K114" s="12">
        <f t="shared" si="10"/>
        <v>0</v>
      </c>
      <c r="L114" s="12">
        <f t="shared" si="11"/>
        <v>0</v>
      </c>
      <c r="M114" s="12" t="str">
        <f t="shared" si="12"/>
        <v/>
      </c>
      <c r="N114" s="12">
        <f t="shared" si="13"/>
        <v>0</v>
      </c>
      <c r="O114" s="14">
        <f>IF(OR($N114="",$N$162=""),"",IFERROR($N114/$N$162,0))</f>
        <v>0</v>
      </c>
    </row>
    <row r="115" spans="1:15" ht="15.6">
      <c r="A115" s="87">
        <v>1</v>
      </c>
      <c r="B115" s="88" t="s">
        <v>258</v>
      </c>
      <c r="C115" s="89" t="s">
        <v>165</v>
      </c>
      <c r="D115" s="59">
        <v>104.38800000000001</v>
      </c>
      <c r="E115" s="85">
        <v>0</v>
      </c>
      <c r="F115" s="85">
        <v>25.012453538720923</v>
      </c>
      <c r="G115" s="85">
        <v>57.477871019657428</v>
      </c>
      <c r="H115" s="12">
        <f t="shared" si="7"/>
        <v>8611</v>
      </c>
      <c r="I115" s="12">
        <f t="shared" si="8"/>
        <v>688.88</v>
      </c>
      <c r="J115" s="12">
        <f t="shared" si="9"/>
        <v>688.88</v>
      </c>
      <c r="K115" s="12">
        <f t="shared" si="10"/>
        <v>499.43799999999993</v>
      </c>
      <c r="L115" s="12">
        <f t="shared" si="11"/>
        <v>1877.1979999999999</v>
      </c>
      <c r="M115" s="12">
        <f t="shared" si="12"/>
        <v>100.47321531210484</v>
      </c>
      <c r="N115" s="12">
        <f t="shared" si="13"/>
        <v>10488.198</v>
      </c>
      <c r="O115" s="14">
        <f>IF(OR($N115="",$N$162=""),"",IFERROR($N115/$N$162,0))</f>
        <v>1.9079108949322439E-5</v>
      </c>
    </row>
    <row r="116" spans="1:15" ht="15.6">
      <c r="A116" s="56">
        <v>2</v>
      </c>
      <c r="B116" s="57" t="s">
        <v>182</v>
      </c>
      <c r="C116" s="58" t="s">
        <v>165</v>
      </c>
      <c r="D116" s="34">
        <v>35.408000000000001</v>
      </c>
      <c r="E116" s="73">
        <v>1149.9999999999998</v>
      </c>
      <c r="F116" s="73">
        <v>73.740397650248525</v>
      </c>
      <c r="G116" s="73">
        <v>254.17984636240396</v>
      </c>
      <c r="H116" s="12">
        <f t="shared" si="7"/>
        <v>52330.2</v>
      </c>
      <c r="I116" s="12">
        <f t="shared" si="8"/>
        <v>4186.4160000000002</v>
      </c>
      <c r="J116" s="12">
        <f t="shared" si="9"/>
        <v>4186.4160000000002</v>
      </c>
      <c r="K116" s="12">
        <f t="shared" si="10"/>
        <v>3035.1515999999997</v>
      </c>
      <c r="L116" s="12">
        <f t="shared" si="11"/>
        <v>11407.9836</v>
      </c>
      <c r="M116" s="12">
        <f t="shared" si="12"/>
        <v>1800.1068572074105</v>
      </c>
      <c r="N116" s="12">
        <f t="shared" si="13"/>
        <v>63738.183599999997</v>
      </c>
      <c r="O116" s="14">
        <f>IF(OR($N116="",$N$162=""),"",IFERROR($N116/$N$162,0))</f>
        <v>1.1594629974913865E-4</v>
      </c>
    </row>
    <row r="117" spans="1:15" ht="15.6">
      <c r="A117" s="56">
        <v>3</v>
      </c>
      <c r="B117" s="57" t="s">
        <v>183</v>
      </c>
      <c r="C117" s="58" t="s">
        <v>165</v>
      </c>
      <c r="D117" s="34">
        <v>59.425000000000004</v>
      </c>
      <c r="E117" s="73">
        <v>632.5</v>
      </c>
      <c r="F117" s="73">
        <v>43.93773664282709</v>
      </c>
      <c r="G117" s="73">
        <v>302.90281867900711</v>
      </c>
      <c r="H117" s="12">
        <f t="shared" si="7"/>
        <v>58197.312500000007</v>
      </c>
      <c r="I117" s="12">
        <f t="shared" si="8"/>
        <v>4655.7850000000008</v>
      </c>
      <c r="J117" s="12">
        <f t="shared" si="9"/>
        <v>4655.7850000000008</v>
      </c>
      <c r="K117" s="12">
        <f t="shared" si="10"/>
        <v>3375.4441250000004</v>
      </c>
      <c r="L117" s="12">
        <f t="shared" si="11"/>
        <v>12687.014125000002</v>
      </c>
      <c r="M117" s="12">
        <f t="shared" si="12"/>
        <v>1192.8367963819942</v>
      </c>
      <c r="N117" s="12">
        <f t="shared" si="13"/>
        <v>70884.326625000016</v>
      </c>
      <c r="O117" s="14">
        <f>IF(OR($N117="",$N$162=""),"",IFERROR($N117/$N$162,0))</f>
        <v>1.2894586758161245E-4</v>
      </c>
    </row>
    <row r="118" spans="1:15" ht="15.6">
      <c r="A118" s="56">
        <v>4</v>
      </c>
      <c r="B118" s="57" t="s">
        <v>186</v>
      </c>
      <c r="C118" s="58" t="s">
        <v>165</v>
      </c>
      <c r="D118" s="34">
        <v>56.406999999999996</v>
      </c>
      <c r="E118" s="73">
        <v>5200</v>
      </c>
      <c r="F118" s="73">
        <v>977.32550924530653</v>
      </c>
      <c r="G118" s="73">
        <v>319.10933040225507</v>
      </c>
      <c r="H118" s="12">
        <f t="shared" si="7"/>
        <v>366444.39999999997</v>
      </c>
      <c r="I118" s="12">
        <f t="shared" si="8"/>
        <v>29315.551999999996</v>
      </c>
      <c r="J118" s="12">
        <f t="shared" si="9"/>
        <v>29315.551999999996</v>
      </c>
      <c r="K118" s="12">
        <f t="shared" si="10"/>
        <v>21253.7752</v>
      </c>
      <c r="L118" s="12">
        <f t="shared" si="11"/>
        <v>79884.879199999996</v>
      </c>
      <c r="M118" s="12">
        <f t="shared" si="12"/>
        <v>7912.6576346907304</v>
      </c>
      <c r="N118" s="12">
        <f t="shared" si="13"/>
        <v>446329.27919999999</v>
      </c>
      <c r="O118" s="14">
        <f>IF(OR($N118="",$N$162=""),"",IFERROR($N118/$N$162,0))</f>
        <v>8.1191878196133912E-4</v>
      </c>
    </row>
    <row r="119" spans="1:15" ht="15.6">
      <c r="A119" s="56">
        <v>5</v>
      </c>
      <c r="B119" s="57" t="s">
        <v>189</v>
      </c>
      <c r="C119" s="58" t="s">
        <v>196</v>
      </c>
      <c r="D119" s="34">
        <v>7332.91</v>
      </c>
      <c r="E119" s="73">
        <v>62.999999999999993</v>
      </c>
      <c r="F119" s="73">
        <v>6.5360136698800337</v>
      </c>
      <c r="G119" s="73">
        <v>2.4546871569404236</v>
      </c>
      <c r="H119" s="12">
        <f t="shared" si="7"/>
        <v>527901.32999999984</v>
      </c>
      <c r="I119" s="12">
        <f t="shared" si="8"/>
        <v>42232.10639999999</v>
      </c>
      <c r="J119" s="12">
        <f t="shared" si="9"/>
        <v>42232.10639999999</v>
      </c>
      <c r="K119" s="12">
        <f t="shared" si="10"/>
        <v>30618.277139999987</v>
      </c>
      <c r="L119" s="12">
        <f t="shared" si="11"/>
        <v>115082.48993999997</v>
      </c>
      <c r="M119" s="12">
        <f t="shared" si="12"/>
        <v>87.684673607067296</v>
      </c>
      <c r="N119" s="12">
        <f t="shared" si="13"/>
        <v>642983.81993999984</v>
      </c>
      <c r="O119" s="14">
        <f>IF(OR($N119="",$N$162=""),"",IFERROR($N119/$N$162,0))</f>
        <v>1.169653581414727E-3</v>
      </c>
    </row>
    <row r="120" spans="1:15" ht="15.6">
      <c r="A120" s="56">
        <v>6</v>
      </c>
      <c r="B120" s="57" t="s">
        <v>259</v>
      </c>
      <c r="C120" s="58" t="s">
        <v>164</v>
      </c>
      <c r="D120" s="34">
        <v>317.97000000000003</v>
      </c>
      <c r="E120" s="73">
        <v>553.77626272289831</v>
      </c>
      <c r="F120" s="73">
        <v>237.89980186810075</v>
      </c>
      <c r="G120" s="73">
        <v>84.913671101047257</v>
      </c>
      <c r="H120" s="12">
        <f t="shared" si="7"/>
        <v>278729.238258</v>
      </c>
      <c r="I120" s="12">
        <f t="shared" si="8"/>
        <v>22298.339060639999</v>
      </c>
      <c r="J120" s="12">
        <f t="shared" si="9"/>
        <v>22298.339060639999</v>
      </c>
      <c r="K120" s="12">
        <f t="shared" si="10"/>
        <v>16166.295818964003</v>
      </c>
      <c r="L120" s="12">
        <f t="shared" si="11"/>
        <v>60762.973940244003</v>
      </c>
      <c r="M120" s="12">
        <f t="shared" si="12"/>
        <v>1067.6862980729125</v>
      </c>
      <c r="N120" s="12">
        <f t="shared" si="13"/>
        <v>339492.212198244</v>
      </c>
      <c r="O120" s="14">
        <f>IF(OR($N120="",$N$162=""),"",IFERROR($N120/$N$162,0))</f>
        <v>6.1757118848984247E-4</v>
      </c>
    </row>
    <row r="121" spans="1:15" ht="15.6">
      <c r="A121" s="56">
        <v>7</v>
      </c>
      <c r="B121" s="57" t="s">
        <v>260</v>
      </c>
      <c r="C121" s="58" t="s">
        <v>164</v>
      </c>
      <c r="D121" s="34">
        <v>635.94000000000005</v>
      </c>
      <c r="E121" s="73">
        <v>113.21822813472969</v>
      </c>
      <c r="F121" s="73">
        <v>258.57313583042423</v>
      </c>
      <c r="G121" s="73">
        <v>61.326540239645247</v>
      </c>
      <c r="H121" s="12">
        <f t="shared" si="7"/>
        <v>275437</v>
      </c>
      <c r="I121" s="12">
        <f t="shared" si="8"/>
        <v>22034.959999999999</v>
      </c>
      <c r="J121" s="12">
        <f t="shared" si="9"/>
        <v>22034.959999999999</v>
      </c>
      <c r="K121" s="12">
        <f t="shared" si="10"/>
        <v>15975.346000000003</v>
      </c>
      <c r="L121" s="12">
        <f t="shared" si="11"/>
        <v>60045.266000000003</v>
      </c>
      <c r="M121" s="12">
        <f t="shared" si="12"/>
        <v>527.53760732144542</v>
      </c>
      <c r="N121" s="12">
        <f t="shared" si="13"/>
        <v>335482.266</v>
      </c>
      <c r="O121" s="14">
        <f>IF(OR($N121="",$N$162=""),"",IFERROR($N121/$N$162,0))</f>
        <v>6.1027668466781147E-4</v>
      </c>
    </row>
    <row r="122" spans="1:15" ht="15.6">
      <c r="A122" s="56">
        <v>8</v>
      </c>
      <c r="B122" s="57" t="s">
        <v>195</v>
      </c>
      <c r="C122" s="58" t="s">
        <v>196</v>
      </c>
      <c r="D122" s="34">
        <v>10082.335999999999</v>
      </c>
      <c r="E122" s="73">
        <v>114.31454282023529</v>
      </c>
      <c r="F122" s="73">
        <v>25.009085196129153</v>
      </c>
      <c r="G122" s="73">
        <v>14.702941857918642</v>
      </c>
      <c r="H122" s="12">
        <f t="shared" si="7"/>
        <v>1552947.6303999997</v>
      </c>
      <c r="I122" s="12">
        <f t="shared" si="8"/>
        <v>124235.81043199997</v>
      </c>
      <c r="J122" s="12">
        <f t="shared" si="9"/>
        <v>124235.81043199997</v>
      </c>
      <c r="K122" s="12">
        <f t="shared" si="10"/>
        <v>90070.962563199995</v>
      </c>
      <c r="L122" s="12">
        <f t="shared" si="11"/>
        <v>338542.58342719992</v>
      </c>
      <c r="M122" s="12">
        <f t="shared" si="12"/>
        <v>187.60436210687678</v>
      </c>
      <c r="N122" s="12">
        <f t="shared" si="13"/>
        <v>1891490.2138271995</v>
      </c>
      <c r="O122" s="14">
        <f>IF(OR($N122="",$N$162=""),"",IFERROR($N122/$N$162,0))</f>
        <v>3.4408148917656144E-3</v>
      </c>
    </row>
    <row r="123" spans="1:15" ht="15.6">
      <c r="A123" s="56">
        <v>9</v>
      </c>
      <c r="B123" s="57" t="s">
        <v>261</v>
      </c>
      <c r="C123" s="58" t="s">
        <v>164</v>
      </c>
      <c r="D123" s="34">
        <v>220.88000000000002</v>
      </c>
      <c r="E123" s="73">
        <v>900</v>
      </c>
      <c r="F123" s="73">
        <v>0</v>
      </c>
      <c r="G123" s="73"/>
      <c r="H123" s="12">
        <f t="shared" si="7"/>
        <v>198792.00000000003</v>
      </c>
      <c r="I123" s="12">
        <f t="shared" si="8"/>
        <v>15903.360000000002</v>
      </c>
      <c r="J123" s="12">
        <f t="shared" si="9"/>
        <v>15903.360000000002</v>
      </c>
      <c r="K123" s="12">
        <f t="shared" si="10"/>
        <v>11529.936000000003</v>
      </c>
      <c r="L123" s="12">
        <f t="shared" si="11"/>
        <v>43336.65600000001</v>
      </c>
      <c r="M123" s="12">
        <f t="shared" si="12"/>
        <v>1096.2</v>
      </c>
      <c r="N123" s="12">
        <f t="shared" si="13"/>
        <v>242128.65600000005</v>
      </c>
      <c r="O123" s="14">
        <f>IF(OR($N123="",$N$162=""),"",IFERROR($N123/$N$162,0))</f>
        <v>4.4045688378280186E-4</v>
      </c>
    </row>
    <row r="124" spans="1:15" ht="15.6">
      <c r="A124" s="56">
        <v>10</v>
      </c>
      <c r="B124" s="57" t="s">
        <v>262</v>
      </c>
      <c r="C124" s="58" t="s">
        <v>153</v>
      </c>
      <c r="D124" s="34">
        <v>1</v>
      </c>
      <c r="E124" s="73">
        <v>818102.00399999996</v>
      </c>
      <c r="F124" s="73">
        <v>151290</v>
      </c>
      <c r="G124" s="73">
        <v>74120</v>
      </c>
      <c r="H124" s="12">
        <f t="shared" si="7"/>
        <v>1043512.004</v>
      </c>
      <c r="I124" s="12">
        <f t="shared" si="8"/>
        <v>83480.960319999998</v>
      </c>
      <c r="J124" s="12">
        <f t="shared" si="9"/>
        <v>83480.960319999998</v>
      </c>
      <c r="K124" s="12">
        <f t="shared" si="10"/>
        <v>60523.696232000009</v>
      </c>
      <c r="L124" s="12">
        <f t="shared" si="11"/>
        <v>227485.61687200001</v>
      </c>
      <c r="M124" s="12">
        <f t="shared" si="12"/>
        <v>1270997.620872</v>
      </c>
      <c r="N124" s="12">
        <f t="shared" si="13"/>
        <v>1270997.620872</v>
      </c>
      <c r="O124" s="14">
        <f>IF(OR($N124="",$N$162=""),"",IFERROR($N124/$N$162,0))</f>
        <v>2.3120751613333866E-3</v>
      </c>
    </row>
    <row r="125" spans="1:15" ht="15.6">
      <c r="A125" s="56">
        <v>11</v>
      </c>
      <c r="B125" s="57" t="s">
        <v>263</v>
      </c>
      <c r="C125" s="58" t="s">
        <v>164</v>
      </c>
      <c r="D125" s="34">
        <v>907.38</v>
      </c>
      <c r="E125" s="73">
        <v>174.62364169366748</v>
      </c>
      <c r="F125" s="73">
        <v>296.41385086733231</v>
      </c>
      <c r="G125" s="73">
        <v>0</v>
      </c>
      <c r="H125" s="12">
        <f t="shared" si="7"/>
        <v>427410</v>
      </c>
      <c r="I125" s="12">
        <f t="shared" si="8"/>
        <v>34192.800000000003</v>
      </c>
      <c r="J125" s="12">
        <f t="shared" si="9"/>
        <v>34192.800000000003</v>
      </c>
      <c r="K125" s="12">
        <f t="shared" si="10"/>
        <v>24789.78</v>
      </c>
      <c r="L125" s="12">
        <f t="shared" si="11"/>
        <v>93175.38</v>
      </c>
      <c r="M125" s="12">
        <f t="shared" si="12"/>
        <v>573.7236659392978</v>
      </c>
      <c r="N125" s="12">
        <f t="shared" si="13"/>
        <v>520585.38</v>
      </c>
      <c r="O125" s="14">
        <f>IF(OR($N125="",$N$162=""),"",IFERROR($N125/$N$162,0))</f>
        <v>9.4699825293576858E-4</v>
      </c>
    </row>
    <row r="126" spans="1:15" ht="15.6">
      <c r="A126" s="56">
        <v>12</v>
      </c>
      <c r="B126" s="57" t="s">
        <v>264</v>
      </c>
      <c r="C126" s="58" t="s">
        <v>164</v>
      </c>
      <c r="D126" s="34">
        <v>108.27</v>
      </c>
      <c r="E126" s="73">
        <v>2412.4318832548261</v>
      </c>
      <c r="F126" s="73">
        <v>931.55998891659738</v>
      </c>
      <c r="G126" s="73">
        <v>0</v>
      </c>
      <c r="H126" s="12">
        <f t="shared" si="7"/>
        <v>362054</v>
      </c>
      <c r="I126" s="12">
        <f t="shared" si="8"/>
        <v>28964.32</v>
      </c>
      <c r="J126" s="12">
        <f t="shared" si="9"/>
        <v>28964.32</v>
      </c>
      <c r="K126" s="12">
        <f t="shared" si="10"/>
        <v>20999.132000000001</v>
      </c>
      <c r="L126" s="12">
        <f t="shared" si="11"/>
        <v>78927.771999999997</v>
      </c>
      <c r="M126" s="12">
        <f t="shared" si="12"/>
        <v>4072.9821003047937</v>
      </c>
      <c r="N126" s="12">
        <f t="shared" si="13"/>
        <v>440981.772</v>
      </c>
      <c r="O126" s="14">
        <f>IF(OR($N126="",$N$162=""),"",IFERROR($N126/$N$162,0))</f>
        <v>8.0219111735431252E-4</v>
      </c>
    </row>
    <row r="127" spans="1:15" ht="15.6">
      <c r="A127" s="56">
        <v>13</v>
      </c>
      <c r="B127" s="57" t="s">
        <v>265</v>
      </c>
      <c r="C127" s="58" t="s">
        <v>164</v>
      </c>
      <c r="D127" s="34">
        <v>243.26</v>
      </c>
      <c r="E127" s="73">
        <v>1120.541807119954</v>
      </c>
      <c r="F127" s="73">
        <v>241.8605607169284</v>
      </c>
      <c r="G127" s="73">
        <v>0</v>
      </c>
      <c r="H127" s="12">
        <f t="shared" si="7"/>
        <v>331418</v>
      </c>
      <c r="I127" s="12">
        <f t="shared" si="8"/>
        <v>26513.440000000002</v>
      </c>
      <c r="J127" s="12">
        <f t="shared" si="9"/>
        <v>26513.440000000002</v>
      </c>
      <c r="K127" s="12">
        <f t="shared" si="10"/>
        <v>19222.244000000002</v>
      </c>
      <c r="L127" s="12">
        <f t="shared" si="11"/>
        <v>72249.124000000011</v>
      </c>
      <c r="M127" s="12">
        <f t="shared" si="12"/>
        <v>1659.4060840253228</v>
      </c>
      <c r="N127" s="12">
        <f t="shared" si="13"/>
        <v>403667.12400000001</v>
      </c>
      <c r="O127" s="14">
        <f>IF(OR($N127="",$N$162=""),"",IFERROR($N127/$N$162,0))</f>
        <v>7.3431194167536211E-4</v>
      </c>
    </row>
    <row r="128" spans="1:15" ht="15.6">
      <c r="A128" s="56">
        <v>14</v>
      </c>
      <c r="B128" s="57" t="s">
        <v>266</v>
      </c>
      <c r="C128" s="58" t="s">
        <v>246</v>
      </c>
      <c r="D128" s="34">
        <v>5.6</v>
      </c>
      <c r="E128" s="73">
        <v>6002.5</v>
      </c>
      <c r="F128" s="73">
        <v>2797.5</v>
      </c>
      <c r="G128" s="73"/>
      <c r="H128" s="12">
        <f t="shared" si="7"/>
        <v>49280</v>
      </c>
      <c r="I128" s="12">
        <f t="shared" si="8"/>
        <v>3942.4</v>
      </c>
      <c r="J128" s="12">
        <f t="shared" si="9"/>
        <v>3942.4</v>
      </c>
      <c r="K128" s="12">
        <f t="shared" si="10"/>
        <v>2858.2400000000002</v>
      </c>
      <c r="L128" s="12">
        <f t="shared" si="11"/>
        <v>10743.04</v>
      </c>
      <c r="M128" s="12">
        <f t="shared" si="12"/>
        <v>10718.400000000001</v>
      </c>
      <c r="N128" s="12">
        <f t="shared" si="13"/>
        <v>60023.040000000001</v>
      </c>
      <c r="O128" s="14">
        <f>IF(OR($N128="",$N$162=""),"",IFERROR($N128/$N$162,0))</f>
        <v>1.0918807211968525E-4</v>
      </c>
    </row>
    <row r="129" spans="1:15" ht="15.6">
      <c r="A129" s="56">
        <v>15</v>
      </c>
      <c r="B129" s="57" t="s">
        <v>267</v>
      </c>
      <c r="C129" s="58" t="s">
        <v>164</v>
      </c>
      <c r="D129" s="34">
        <v>15.199999999999998</v>
      </c>
      <c r="E129" s="65">
        <v>6075</v>
      </c>
      <c r="F129" s="65">
        <v>2404.8684210526321</v>
      </c>
      <c r="G129" s="65"/>
      <c r="H129" s="12">
        <f t="shared" si="7"/>
        <v>128893.99999999999</v>
      </c>
      <c r="I129" s="12">
        <f t="shared" si="8"/>
        <v>10311.519999999999</v>
      </c>
      <c r="J129" s="12">
        <f t="shared" si="9"/>
        <v>10311.519999999999</v>
      </c>
      <c r="K129" s="12">
        <f t="shared" si="10"/>
        <v>7475.851999999999</v>
      </c>
      <c r="L129" s="12">
        <f t="shared" si="11"/>
        <v>28098.891999999996</v>
      </c>
      <c r="M129" s="12">
        <f t="shared" si="12"/>
        <v>10328.479736842106</v>
      </c>
      <c r="N129" s="12">
        <f t="shared" si="13"/>
        <v>156992.89199999999</v>
      </c>
      <c r="O129" s="14">
        <f>IF(OR($N129="",$N$162=""),"",IFERROR($N129/$N$162,0))</f>
        <v>2.8558618846986021E-4</v>
      </c>
    </row>
    <row r="130" spans="1:15" ht="15.6">
      <c r="A130" s="56">
        <v>16</v>
      </c>
      <c r="B130" s="57" t="s">
        <v>268</v>
      </c>
      <c r="C130" s="58" t="s">
        <v>164</v>
      </c>
      <c r="D130" s="34">
        <v>17.010000000000002</v>
      </c>
      <c r="E130" s="65">
        <v>2310</v>
      </c>
      <c r="F130" s="65">
        <v>920.98765432098753</v>
      </c>
      <c r="G130" s="65"/>
      <c r="H130" s="12">
        <f t="shared" si="7"/>
        <v>54959.100000000006</v>
      </c>
      <c r="I130" s="12">
        <f t="shared" si="8"/>
        <v>4396.728000000001</v>
      </c>
      <c r="J130" s="12">
        <f t="shared" si="9"/>
        <v>4396.728000000001</v>
      </c>
      <c r="K130" s="12">
        <f t="shared" si="10"/>
        <v>3187.6278000000007</v>
      </c>
      <c r="L130" s="12">
        <f t="shared" si="11"/>
        <v>11981.083800000002</v>
      </c>
      <c r="M130" s="12">
        <f t="shared" si="12"/>
        <v>3935.3429629629636</v>
      </c>
      <c r="N130" s="12">
        <f t="shared" si="13"/>
        <v>66940.183800000013</v>
      </c>
      <c r="O130" s="14">
        <f>IF(OR($N130="",$N$162=""),"",IFERROR($N130/$N$162,0))</f>
        <v>1.2177106685131888E-4</v>
      </c>
    </row>
    <row r="131" spans="1:15" ht="15.6">
      <c r="A131" s="56">
        <v>17</v>
      </c>
      <c r="B131" s="57" t="s">
        <v>220</v>
      </c>
      <c r="C131" s="58" t="s">
        <v>153</v>
      </c>
      <c r="D131" s="34">
        <v>1</v>
      </c>
      <c r="E131" s="73">
        <v>81075</v>
      </c>
      <c r="F131" s="73">
        <v>25215</v>
      </c>
      <c r="G131" s="73">
        <v>0</v>
      </c>
      <c r="H131" s="12">
        <f t="shared" si="7"/>
        <v>106290</v>
      </c>
      <c r="I131" s="12">
        <f t="shared" si="8"/>
        <v>8503.2000000000007</v>
      </c>
      <c r="J131" s="12">
        <f t="shared" si="9"/>
        <v>8503.2000000000007</v>
      </c>
      <c r="K131" s="12">
        <f t="shared" si="10"/>
        <v>6164.82</v>
      </c>
      <c r="L131" s="12">
        <f t="shared" si="11"/>
        <v>23171.22</v>
      </c>
      <c r="M131" s="12">
        <f t="shared" si="12"/>
        <v>129461.22</v>
      </c>
      <c r="N131" s="12">
        <f t="shared" si="13"/>
        <v>129461.22</v>
      </c>
      <c r="O131" s="14">
        <f>IF(OR($N131="",$N$162=""),"",IFERROR($N131/$N$162,0))</f>
        <v>2.3550325051950783E-4</v>
      </c>
    </row>
    <row r="132" spans="1:15" ht="15.9" thickBot="1">
      <c r="A132" s="56">
        <v>18</v>
      </c>
      <c r="B132" s="90" t="s">
        <v>223</v>
      </c>
      <c r="C132" s="91" t="s">
        <v>153</v>
      </c>
      <c r="D132" s="92">
        <v>1</v>
      </c>
      <c r="E132" s="94">
        <v>116967.87948404947</v>
      </c>
      <c r="F132" s="94">
        <v>33620</v>
      </c>
      <c r="G132" s="94">
        <v>0</v>
      </c>
      <c r="H132" s="12">
        <f t="shared" si="7"/>
        <v>150587.87948404945</v>
      </c>
      <c r="I132" s="12">
        <f t="shared" si="8"/>
        <v>12047.030358723956</v>
      </c>
      <c r="J132" s="12">
        <f t="shared" si="9"/>
        <v>12047.030358723956</v>
      </c>
      <c r="K132" s="12">
        <f t="shared" si="10"/>
        <v>8734.0970100748673</v>
      </c>
      <c r="L132" s="12">
        <f t="shared" si="11"/>
        <v>32828.157727522776</v>
      </c>
      <c r="M132" s="12">
        <f t="shared" si="12"/>
        <v>183416.03721157223</v>
      </c>
      <c r="N132" s="12">
        <f t="shared" si="13"/>
        <v>183416.03721157223</v>
      </c>
      <c r="O132" s="14">
        <f>IF(OR($N132="",$N$162=""),"",IFERROR($N132/$N$162,0))</f>
        <v>3.3365260238341847E-4</v>
      </c>
    </row>
    <row r="133" spans="1:15" ht="15.9" thickBot="1">
      <c r="A133" s="42" t="s">
        <v>308</v>
      </c>
      <c r="B133" s="55" t="s">
        <v>309</v>
      </c>
      <c r="C133" s="43"/>
      <c r="D133" s="44"/>
      <c r="E133" s="44"/>
      <c r="F133" s="44"/>
      <c r="G133" s="44"/>
      <c r="H133" s="12">
        <f t="shared" si="7"/>
        <v>0</v>
      </c>
      <c r="I133" s="12">
        <f t="shared" si="8"/>
        <v>0</v>
      </c>
      <c r="J133" s="12">
        <f t="shared" si="9"/>
        <v>0</v>
      </c>
      <c r="K133" s="12">
        <f t="shared" si="10"/>
        <v>0</v>
      </c>
      <c r="L133" s="12">
        <f t="shared" si="11"/>
        <v>0</v>
      </c>
      <c r="M133" s="12" t="str">
        <f t="shared" si="12"/>
        <v/>
      </c>
      <c r="N133" s="12">
        <f t="shared" si="13"/>
        <v>0</v>
      </c>
      <c r="O133" s="14">
        <f>IF(OR($N133="",$N$162=""),"",IFERROR($N133/$N$162,0))</f>
        <v>0</v>
      </c>
    </row>
    <row r="134" spans="1:15" ht="15.6">
      <c r="A134" s="56">
        <v>1</v>
      </c>
      <c r="B134" s="57" t="s">
        <v>258</v>
      </c>
      <c r="C134" s="58" t="s">
        <v>165</v>
      </c>
      <c r="D134" s="34">
        <v>42.10499999999999</v>
      </c>
      <c r="E134" s="73">
        <v>0</v>
      </c>
      <c r="F134" s="73">
        <v>31.005818786367421</v>
      </c>
      <c r="G134" s="73">
        <v>71.250445315283244</v>
      </c>
      <c r="H134" s="12">
        <f t="shared" si="7"/>
        <v>4305.5</v>
      </c>
      <c r="I134" s="12">
        <f t="shared" si="8"/>
        <v>344.44</v>
      </c>
      <c r="J134" s="12">
        <f t="shared" si="9"/>
        <v>344.44</v>
      </c>
      <c r="K134" s="12">
        <f t="shared" si="10"/>
        <v>249.71899999999997</v>
      </c>
      <c r="L134" s="12">
        <f t="shared" si="11"/>
        <v>938.59899999999993</v>
      </c>
      <c r="M134" s="12">
        <f t="shared" si="12"/>
        <v>124.54812967581051</v>
      </c>
      <c r="N134" s="12">
        <f t="shared" si="13"/>
        <v>5244.0990000000002</v>
      </c>
      <c r="O134" s="14">
        <f>IF(OR($N134="",$N$162=""),"",IFERROR($N134/$N$162,0))</f>
        <v>9.5395544746612193E-6</v>
      </c>
    </row>
    <row r="135" spans="1:15" ht="15.6">
      <c r="A135" s="56">
        <v>2</v>
      </c>
      <c r="B135" s="57" t="s">
        <v>182</v>
      </c>
      <c r="C135" s="58" t="s">
        <v>165</v>
      </c>
      <c r="D135" s="34">
        <v>9.6645000000000003</v>
      </c>
      <c r="E135" s="73">
        <v>1150</v>
      </c>
      <c r="F135" s="73">
        <v>635.7286978115784</v>
      </c>
      <c r="G135" s="73">
        <v>0</v>
      </c>
      <c r="H135" s="12">
        <f t="shared" si="7"/>
        <v>17258.175000000003</v>
      </c>
      <c r="I135" s="12">
        <f t="shared" si="8"/>
        <v>1380.6540000000002</v>
      </c>
      <c r="J135" s="12">
        <f t="shared" si="9"/>
        <v>1380.6540000000002</v>
      </c>
      <c r="K135" s="12">
        <f t="shared" si="10"/>
        <v>1000.97415</v>
      </c>
      <c r="L135" s="12">
        <f t="shared" si="11"/>
        <v>3762.2821500000005</v>
      </c>
      <c r="M135" s="12">
        <f t="shared" si="12"/>
        <v>2175.0175539345028</v>
      </c>
      <c r="N135" s="12">
        <f t="shared" si="13"/>
        <v>21020.457150000002</v>
      </c>
      <c r="O135" s="14">
        <f>IF(OR($N135="",$N$162=""),"",IFERROR($N135/$N$162,0))</f>
        <v>3.8238369654102056E-5</v>
      </c>
    </row>
    <row r="136" spans="1:15" ht="15.6">
      <c r="A136" s="56">
        <v>3</v>
      </c>
      <c r="B136" s="57" t="s">
        <v>183</v>
      </c>
      <c r="C136" s="58" t="s">
        <v>165</v>
      </c>
      <c r="D136" s="34">
        <v>13.2325</v>
      </c>
      <c r="E136" s="73">
        <v>632.5</v>
      </c>
      <c r="F136" s="73">
        <v>928.62270923861706</v>
      </c>
      <c r="G136" s="73">
        <v>453.42905724541851</v>
      </c>
      <c r="H136" s="12">
        <f t="shared" si="7"/>
        <v>26657.556250000001</v>
      </c>
      <c r="I136" s="12">
        <f t="shared" si="8"/>
        <v>2132.6045000000004</v>
      </c>
      <c r="J136" s="12">
        <f t="shared" si="9"/>
        <v>2132.6045000000004</v>
      </c>
      <c r="K136" s="12">
        <f t="shared" si="10"/>
        <v>1546.1382625000003</v>
      </c>
      <c r="L136" s="12">
        <f t="shared" si="11"/>
        <v>5811.3472625000013</v>
      </c>
      <c r="M136" s="12">
        <f t="shared" si="12"/>
        <v>2453.7240515775552</v>
      </c>
      <c r="N136" s="12">
        <f t="shared" si="13"/>
        <v>32468.903512500001</v>
      </c>
      <c r="O136" s="14">
        <f>IF(OR($N136="",$N$162=""),"",IFERROR($N136/$N$162,0))</f>
        <v>5.9064268960218472E-5</v>
      </c>
    </row>
    <row r="137" spans="1:15" ht="15.6">
      <c r="A137" s="56">
        <v>4</v>
      </c>
      <c r="B137" s="57" t="s">
        <v>186</v>
      </c>
      <c r="C137" s="58" t="s">
        <v>165</v>
      </c>
      <c r="D137" s="34">
        <v>12.643000000000001</v>
      </c>
      <c r="E137" s="73">
        <v>5200</v>
      </c>
      <c r="F137" s="73">
        <v>726.72625168077195</v>
      </c>
      <c r="G137" s="73">
        <v>237.28545440164515</v>
      </c>
      <c r="H137" s="12">
        <f t="shared" si="7"/>
        <v>77931.600000000006</v>
      </c>
      <c r="I137" s="12">
        <f t="shared" si="8"/>
        <v>6234.5280000000002</v>
      </c>
      <c r="J137" s="12">
        <f t="shared" si="9"/>
        <v>6234.5280000000002</v>
      </c>
      <c r="K137" s="12">
        <f t="shared" si="10"/>
        <v>4520.0328000000009</v>
      </c>
      <c r="L137" s="12">
        <f t="shared" si="11"/>
        <v>16989.088800000001</v>
      </c>
      <c r="M137" s="12">
        <f t="shared" si="12"/>
        <v>7507.7662580083843</v>
      </c>
      <c r="N137" s="12">
        <f t="shared" si="13"/>
        <v>94920.688800000004</v>
      </c>
      <c r="O137" s="14">
        <f>IF(OR($N137="",$N$162=""),"",IFERROR($N137/$N$162,0))</f>
        <v>1.7267047810881622E-4</v>
      </c>
    </row>
    <row r="138" spans="1:15" ht="15.6">
      <c r="A138" s="56">
        <v>5</v>
      </c>
      <c r="B138" s="57" t="s">
        <v>189</v>
      </c>
      <c r="C138" s="58" t="s">
        <v>196</v>
      </c>
      <c r="D138" s="34">
        <v>1390.73</v>
      </c>
      <c r="E138" s="73">
        <v>63</v>
      </c>
      <c r="F138" s="73">
        <v>5.7437460901828539</v>
      </c>
      <c r="G138" s="73">
        <v>4.3142809891208218</v>
      </c>
      <c r="H138" s="12">
        <f t="shared" si="7"/>
        <v>101603.98999999999</v>
      </c>
      <c r="I138" s="12">
        <f t="shared" si="8"/>
        <v>8128.319199999999</v>
      </c>
      <c r="J138" s="12">
        <f t="shared" si="9"/>
        <v>8128.319199999999</v>
      </c>
      <c r="K138" s="12">
        <f t="shared" si="10"/>
        <v>5893.0314199999993</v>
      </c>
      <c r="L138" s="12">
        <f t="shared" si="11"/>
        <v>22149.669819999996</v>
      </c>
      <c r="M138" s="12">
        <f t="shared" si="12"/>
        <v>88.984676982591864</v>
      </c>
      <c r="N138" s="12">
        <f t="shared" si="13"/>
        <v>123753.65981999999</v>
      </c>
      <c r="O138" s="14">
        <f>IF(OR($N138="",$N$162=""),"",IFERROR($N138/$N$162,0))</f>
        <v>2.2512061257645653E-4</v>
      </c>
    </row>
    <row r="139" spans="1:15" ht="15.6">
      <c r="A139" s="56">
        <v>6</v>
      </c>
      <c r="B139" s="57" t="s">
        <v>259</v>
      </c>
      <c r="C139" s="58" t="s">
        <v>164</v>
      </c>
      <c r="D139" s="34">
        <v>78.11</v>
      </c>
      <c r="E139" s="73">
        <v>579.2043868134682</v>
      </c>
      <c r="F139" s="73">
        <v>322.81398028421455</v>
      </c>
      <c r="G139" s="73">
        <v>115.22212264754833</v>
      </c>
      <c r="H139" s="12">
        <f t="shared" si="7"/>
        <v>79456.654653999998</v>
      </c>
      <c r="I139" s="12">
        <f t="shared" si="8"/>
        <v>6356.5323723199999</v>
      </c>
      <c r="J139" s="12">
        <f t="shared" si="9"/>
        <v>6356.5323723199999</v>
      </c>
      <c r="K139" s="12">
        <f t="shared" si="10"/>
        <v>4608.4859699319995</v>
      </c>
      <c r="L139" s="12">
        <f t="shared" si="11"/>
        <v>17321.550714572</v>
      </c>
      <c r="M139" s="12">
        <f t="shared" si="12"/>
        <v>1238.9989165096915</v>
      </c>
      <c r="N139" s="12">
        <f t="shared" si="13"/>
        <v>96778.205368572002</v>
      </c>
      <c r="O139" s="14">
        <f>IF(OR($N139="",$N$162=""),"",IFERROR($N139/$N$162,0))</f>
        <v>1.7604949145190498E-4</v>
      </c>
    </row>
    <row r="140" spans="1:15" ht="15.6">
      <c r="A140" s="56">
        <v>7</v>
      </c>
      <c r="B140" s="57" t="s">
        <v>260</v>
      </c>
      <c r="C140" s="58" t="s">
        <v>164</v>
      </c>
      <c r="D140" s="34">
        <v>156.22</v>
      </c>
      <c r="E140" s="73">
        <v>118.42273716553578</v>
      </c>
      <c r="F140" s="73">
        <v>161.9382921520932</v>
      </c>
      <c r="G140" s="73">
        <v>38.407374215849444</v>
      </c>
      <c r="H140" s="12">
        <f t="shared" si="7"/>
        <v>49798.000000000007</v>
      </c>
      <c r="I140" s="12">
        <f t="shared" si="8"/>
        <v>3983.8400000000006</v>
      </c>
      <c r="J140" s="12">
        <f t="shared" si="9"/>
        <v>3983.8400000000006</v>
      </c>
      <c r="K140" s="12">
        <f t="shared" si="10"/>
        <v>2888.284000000001</v>
      </c>
      <c r="L140" s="12">
        <f t="shared" si="11"/>
        <v>10855.964000000002</v>
      </c>
      <c r="M140" s="12">
        <f t="shared" si="12"/>
        <v>388.25991550377677</v>
      </c>
      <c r="N140" s="12">
        <f t="shared" si="13"/>
        <v>60653.964000000007</v>
      </c>
      <c r="O140" s="14">
        <f>IF(OR($N140="",$N$162=""),"",IFERROR($N140/$N$162,0))</f>
        <v>1.1033578765048877E-4</v>
      </c>
    </row>
    <row r="141" spans="1:15" ht="15.6">
      <c r="A141" s="56">
        <v>8</v>
      </c>
      <c r="B141" s="57" t="s">
        <v>195</v>
      </c>
      <c r="C141" s="58" t="s">
        <v>196</v>
      </c>
      <c r="D141" s="34">
        <v>3568.08</v>
      </c>
      <c r="E141" s="73">
        <v>114.5668292190758</v>
      </c>
      <c r="F141" s="73">
        <v>23.556086186408375</v>
      </c>
      <c r="G141" s="73">
        <v>20.773076836842225</v>
      </c>
      <c r="H141" s="12">
        <f t="shared" si="7"/>
        <v>566953.61199999996</v>
      </c>
      <c r="I141" s="12">
        <f t="shared" si="8"/>
        <v>45356.288959999998</v>
      </c>
      <c r="J141" s="12">
        <f t="shared" si="9"/>
        <v>45356.288959999998</v>
      </c>
      <c r="K141" s="12">
        <f t="shared" si="10"/>
        <v>32883.309496000002</v>
      </c>
      <c r="L141" s="12">
        <f t="shared" si="11"/>
        <v>123595.887416</v>
      </c>
      <c r="M141" s="12">
        <f t="shared" si="12"/>
        <v>193.53531855115355</v>
      </c>
      <c r="N141" s="12">
        <f t="shared" si="13"/>
        <v>690549.49941599998</v>
      </c>
      <c r="O141" s="14">
        <f>IF(OR($N141="",$N$162=""),"",IFERROR($N141/$N$162,0))</f>
        <v>1.2561804357867704E-3</v>
      </c>
    </row>
    <row r="142" spans="1:15" ht="15.6">
      <c r="A142" s="56">
        <v>9</v>
      </c>
      <c r="B142" s="57" t="s">
        <v>261</v>
      </c>
      <c r="C142" s="58" t="s">
        <v>164</v>
      </c>
      <c r="D142" s="34">
        <v>77.400000000000006</v>
      </c>
      <c r="E142" s="73">
        <v>899.99999999999989</v>
      </c>
      <c r="F142" s="73">
        <v>0</v>
      </c>
      <c r="G142" s="73"/>
      <c r="H142" s="12">
        <f t="shared" ref="H142:H161" si="14">IF(COUNTA($A142:$G142)=0,"",$D142*SUM($E142:$G142))</f>
        <v>69660</v>
      </c>
      <c r="I142" s="12">
        <f t="shared" ref="I142:I161" si="15">IF($H142="","",$H142*$I$13)</f>
        <v>5572.8</v>
      </c>
      <c r="J142" s="12">
        <f t="shared" ref="J142:J161" si="16">IF($H142="","",$H142*$J$13)</f>
        <v>5572.8</v>
      </c>
      <c r="K142" s="12">
        <f t="shared" ref="K142:K161" si="17">IF($H142="","",($H142+$I142+$J142)*$K$13)</f>
        <v>4040.2800000000007</v>
      </c>
      <c r="L142" s="12">
        <f t="shared" ref="L142:L161" si="18">IF($H142="","",SUM($I142:$K142))</f>
        <v>15185.880000000001</v>
      </c>
      <c r="M142" s="12">
        <f t="shared" ref="M142:M161" si="19">IFERROR($N142/$D142,"")</f>
        <v>1096.2</v>
      </c>
      <c r="N142" s="12">
        <f t="shared" ref="N142:N161" si="20">IF($H142="","",$H142+$L142)</f>
        <v>84845.88</v>
      </c>
      <c r="O142" s="14">
        <f>IF(OR($N142="",$N$162=""),"",IFERROR($N142/$N$162,0))</f>
        <v>1.5434336655554537E-4</v>
      </c>
    </row>
    <row r="143" spans="1:15" ht="15.6">
      <c r="A143" s="56">
        <v>10</v>
      </c>
      <c r="B143" s="57" t="s">
        <v>262</v>
      </c>
      <c r="C143" s="58" t="s">
        <v>153</v>
      </c>
      <c r="D143" s="34">
        <v>1</v>
      </c>
      <c r="E143" s="73">
        <v>174690.97980000003</v>
      </c>
      <c r="F143" s="73">
        <v>33620</v>
      </c>
      <c r="G143" s="73">
        <v>6000</v>
      </c>
      <c r="H143" s="12">
        <f t="shared" si="14"/>
        <v>214310.97980000003</v>
      </c>
      <c r="I143" s="12">
        <f t="shared" si="15"/>
        <v>17144.878384000003</v>
      </c>
      <c r="J143" s="12">
        <f t="shared" si="16"/>
        <v>17144.878384000003</v>
      </c>
      <c r="K143" s="12">
        <f t="shared" si="17"/>
        <v>12430.036828400003</v>
      </c>
      <c r="L143" s="12">
        <f t="shared" si="18"/>
        <v>46719.793596400006</v>
      </c>
      <c r="M143" s="12">
        <f t="shared" si="19"/>
        <v>261030.77339640004</v>
      </c>
      <c r="N143" s="12">
        <f t="shared" si="20"/>
        <v>261030.77339640004</v>
      </c>
      <c r="O143" s="14">
        <f>IF(OR($N143="",$N$162=""),"",IFERROR($N143/$N$162,0))</f>
        <v>4.7484177594242722E-4</v>
      </c>
    </row>
    <row r="144" spans="1:15" ht="15.6">
      <c r="A144" s="56">
        <v>11</v>
      </c>
      <c r="B144" s="57" t="s">
        <v>263</v>
      </c>
      <c r="C144" s="58" t="s">
        <v>164</v>
      </c>
      <c r="D144" s="34">
        <v>257.02</v>
      </c>
      <c r="E144" s="73">
        <v>176.63995019842815</v>
      </c>
      <c r="F144" s="73">
        <v>294.31561746167614</v>
      </c>
      <c r="G144" s="73">
        <v>0</v>
      </c>
      <c r="H144" s="12">
        <f t="shared" si="14"/>
        <v>121045</v>
      </c>
      <c r="I144" s="12">
        <f t="shared" si="15"/>
        <v>9683.6</v>
      </c>
      <c r="J144" s="12">
        <f t="shared" si="16"/>
        <v>9683.6</v>
      </c>
      <c r="K144" s="12">
        <f t="shared" si="17"/>
        <v>7020.6100000000006</v>
      </c>
      <c r="L144" s="12">
        <f t="shared" si="18"/>
        <v>26387.81</v>
      </c>
      <c r="M144" s="12">
        <f t="shared" si="19"/>
        <v>573.62388141000702</v>
      </c>
      <c r="N144" s="12">
        <f t="shared" si="20"/>
        <v>147432.81</v>
      </c>
      <c r="O144" s="14">
        <f>IF(OR($N144="",$N$162=""),"",IFERROR($N144/$N$162,0))</f>
        <v>2.6819541781102475E-4</v>
      </c>
    </row>
    <row r="145" spans="1:15" ht="15.6">
      <c r="A145" s="56">
        <v>12</v>
      </c>
      <c r="B145" s="57" t="s">
        <v>264</v>
      </c>
      <c r="C145" s="58" t="s">
        <v>164</v>
      </c>
      <c r="D145" s="34">
        <v>26.78</v>
      </c>
      <c r="E145" s="73">
        <v>3314.7124719940252</v>
      </c>
      <c r="F145" s="73">
        <v>1255.4144884241971</v>
      </c>
      <c r="G145" s="73">
        <v>0</v>
      </c>
      <c r="H145" s="12">
        <f t="shared" si="14"/>
        <v>122388</v>
      </c>
      <c r="I145" s="12">
        <f t="shared" si="15"/>
        <v>9791.0400000000009</v>
      </c>
      <c r="J145" s="12">
        <f t="shared" si="16"/>
        <v>9791.0400000000009</v>
      </c>
      <c r="K145" s="12">
        <f t="shared" si="17"/>
        <v>7098.5040000000008</v>
      </c>
      <c r="L145" s="12">
        <f t="shared" si="18"/>
        <v>26680.584000000003</v>
      </c>
      <c r="M145" s="12">
        <f t="shared" si="19"/>
        <v>5566.4146377893949</v>
      </c>
      <c r="N145" s="12">
        <f t="shared" si="20"/>
        <v>149068.584</v>
      </c>
      <c r="O145" s="14">
        <f>IF(OR($N145="",$N$162=""),"",IFERROR($N145/$N$162,0))</f>
        <v>2.7117105865633197E-4</v>
      </c>
    </row>
    <row r="146" spans="1:15" ht="15.6">
      <c r="A146" s="56">
        <v>13</v>
      </c>
      <c r="B146" s="57" t="s">
        <v>265</v>
      </c>
      <c r="C146" s="58" t="s">
        <v>164</v>
      </c>
      <c r="D146" s="34">
        <v>57.52</v>
      </c>
      <c r="E146" s="73">
        <v>1274.0611961057023</v>
      </c>
      <c r="F146" s="73">
        <v>255.35465924895686</v>
      </c>
      <c r="G146" s="73">
        <v>0</v>
      </c>
      <c r="H146" s="12">
        <f t="shared" si="14"/>
        <v>87971.999999999985</v>
      </c>
      <c r="I146" s="12">
        <f t="shared" si="15"/>
        <v>7037.7599999999993</v>
      </c>
      <c r="J146" s="12">
        <f t="shared" si="16"/>
        <v>7037.7599999999993</v>
      </c>
      <c r="K146" s="12">
        <f t="shared" si="17"/>
        <v>5102.3759999999993</v>
      </c>
      <c r="L146" s="12">
        <f t="shared" si="18"/>
        <v>19177.895999999997</v>
      </c>
      <c r="M146" s="12">
        <f t="shared" si="19"/>
        <v>1862.8285118219744</v>
      </c>
      <c r="N146" s="12">
        <f t="shared" si="20"/>
        <v>107149.89599999998</v>
      </c>
      <c r="O146" s="14">
        <f>IF(OR($N146="",$N$162=""),"",IFERROR($N146/$N$162,0))</f>
        <v>1.9491666153638289E-4</v>
      </c>
    </row>
    <row r="147" spans="1:15" ht="15.6">
      <c r="A147" s="56">
        <v>14</v>
      </c>
      <c r="B147" s="57" t="s">
        <v>220</v>
      </c>
      <c r="C147" s="58" t="s">
        <v>153</v>
      </c>
      <c r="D147" s="34">
        <v>1</v>
      </c>
      <c r="E147" s="73">
        <v>44660</v>
      </c>
      <c r="F147" s="73">
        <v>13210</v>
      </c>
      <c r="G147" s="73">
        <v>0</v>
      </c>
      <c r="H147" s="12">
        <f t="shared" si="14"/>
        <v>57870</v>
      </c>
      <c r="I147" s="12">
        <f t="shared" si="15"/>
        <v>4629.6000000000004</v>
      </c>
      <c r="J147" s="12">
        <f t="shared" si="16"/>
        <v>4629.6000000000004</v>
      </c>
      <c r="K147" s="12">
        <f t="shared" si="17"/>
        <v>3356.46</v>
      </c>
      <c r="L147" s="12">
        <f t="shared" si="18"/>
        <v>12615.66</v>
      </c>
      <c r="M147" s="12">
        <f t="shared" si="19"/>
        <v>70485.66</v>
      </c>
      <c r="N147" s="12">
        <f t="shared" si="20"/>
        <v>70485.66</v>
      </c>
      <c r="O147" s="14">
        <f>IF(OR($N147="",$N$162=""),"",IFERROR($N147/$N$162,0))</f>
        <v>1.2822065206100216E-4</v>
      </c>
    </row>
    <row r="148" spans="1:15" ht="15.9" thickBot="1">
      <c r="A148" s="56">
        <v>15</v>
      </c>
      <c r="B148" s="57" t="s">
        <v>223</v>
      </c>
      <c r="C148" s="58" t="s">
        <v>153</v>
      </c>
      <c r="D148" s="34">
        <v>1</v>
      </c>
      <c r="E148" s="73">
        <v>26045.897606608072</v>
      </c>
      <c r="F148" s="73">
        <v>8405</v>
      </c>
      <c r="G148" s="73">
        <v>0</v>
      </c>
      <c r="H148" s="12">
        <f t="shared" si="14"/>
        <v>34450.897606608072</v>
      </c>
      <c r="I148" s="12">
        <f t="shared" si="15"/>
        <v>2756.0718085286458</v>
      </c>
      <c r="J148" s="12">
        <f t="shared" si="16"/>
        <v>2756.0718085286458</v>
      </c>
      <c r="K148" s="12">
        <f t="shared" si="17"/>
        <v>1998.152061183268</v>
      </c>
      <c r="L148" s="12">
        <f t="shared" si="18"/>
        <v>7510.2956782405599</v>
      </c>
      <c r="M148" s="12">
        <f t="shared" si="19"/>
        <v>41961.193284848632</v>
      </c>
      <c r="N148" s="12">
        <f t="shared" si="20"/>
        <v>41961.193284848632</v>
      </c>
      <c r="O148" s="14">
        <f>IF(OR($N148="",$N$162=""),"",IFERROR($N148/$N$162,0))</f>
        <v>7.6331718596960512E-5</v>
      </c>
    </row>
    <row r="149" spans="1:15" ht="15.9" thickBot="1">
      <c r="A149" s="42" t="s">
        <v>310</v>
      </c>
      <c r="B149" s="55" t="s">
        <v>311</v>
      </c>
      <c r="C149" s="43"/>
      <c r="D149" s="44"/>
      <c r="E149" s="44"/>
      <c r="F149" s="44"/>
      <c r="G149" s="44"/>
      <c r="H149" s="12">
        <f t="shared" si="14"/>
        <v>0</v>
      </c>
      <c r="I149" s="12">
        <f t="shared" si="15"/>
        <v>0</v>
      </c>
      <c r="J149" s="12">
        <f t="shared" si="16"/>
        <v>0</v>
      </c>
      <c r="K149" s="12">
        <f t="shared" si="17"/>
        <v>0</v>
      </c>
      <c r="L149" s="12">
        <f t="shared" si="18"/>
        <v>0</v>
      </c>
      <c r="M149" s="12" t="str">
        <f t="shared" si="19"/>
        <v/>
      </c>
      <c r="N149" s="12">
        <f t="shared" si="20"/>
        <v>0</v>
      </c>
      <c r="O149" s="14">
        <f>IF(OR($N149="",$N$162=""),"",IFERROR($N149/$N$162,0))</f>
        <v>0</v>
      </c>
    </row>
    <row r="150" spans="1:15" ht="15.9" thickBot="1">
      <c r="A150" s="56">
        <v>1</v>
      </c>
      <c r="B150" s="57" t="s">
        <v>269</v>
      </c>
      <c r="C150" s="58" t="s">
        <v>153</v>
      </c>
      <c r="D150" s="34">
        <v>1</v>
      </c>
      <c r="E150" s="73">
        <v>147906.33333333334</v>
      </c>
      <c r="F150" s="73">
        <v>29376</v>
      </c>
      <c r="G150" s="73">
        <v>48000</v>
      </c>
      <c r="H150" s="12">
        <f t="shared" si="14"/>
        <v>225282.33333333334</v>
      </c>
      <c r="I150" s="12">
        <f t="shared" si="15"/>
        <v>18022.586666666666</v>
      </c>
      <c r="J150" s="12">
        <f t="shared" si="16"/>
        <v>18022.586666666666</v>
      </c>
      <c r="K150" s="12">
        <f t="shared" si="17"/>
        <v>13066.375333333335</v>
      </c>
      <c r="L150" s="12">
        <f t="shared" si="18"/>
        <v>49111.548666666669</v>
      </c>
      <c r="M150" s="12">
        <f t="shared" si="19"/>
        <v>274393.88199999998</v>
      </c>
      <c r="N150" s="12">
        <f t="shared" si="20"/>
        <v>274393.88199999998</v>
      </c>
      <c r="O150" s="14">
        <f>IF(OR($N150="",$N$162=""),"",IFERROR($N150/$N$162,0))</f>
        <v>4.9915064243691092E-4</v>
      </c>
    </row>
    <row r="151" spans="1:15" ht="15.9" thickBot="1">
      <c r="A151" s="42" t="s">
        <v>312</v>
      </c>
      <c r="B151" s="55" t="s">
        <v>313</v>
      </c>
      <c r="C151" s="43"/>
      <c r="D151" s="44"/>
      <c r="E151" s="44"/>
      <c r="F151" s="44"/>
      <c r="G151" s="44"/>
      <c r="H151" s="12">
        <f t="shared" si="14"/>
        <v>0</v>
      </c>
      <c r="I151" s="12">
        <f t="shared" si="15"/>
        <v>0</v>
      </c>
      <c r="J151" s="12">
        <f t="shared" si="16"/>
        <v>0</v>
      </c>
      <c r="K151" s="12">
        <f t="shared" si="17"/>
        <v>0</v>
      </c>
      <c r="L151" s="12">
        <f t="shared" si="18"/>
        <v>0</v>
      </c>
      <c r="M151" s="12" t="str">
        <f t="shared" si="19"/>
        <v/>
      </c>
      <c r="N151" s="12">
        <f t="shared" si="20"/>
        <v>0</v>
      </c>
      <c r="O151" s="14">
        <f>IF(OR($N151="",$N$162=""),"",IFERROR($N151/$N$162,0))</f>
        <v>0</v>
      </c>
    </row>
    <row r="152" spans="1:15" ht="15.6">
      <c r="A152" s="56">
        <v>1</v>
      </c>
      <c r="B152" s="57" t="s">
        <v>270</v>
      </c>
      <c r="C152" s="58" t="s">
        <v>153</v>
      </c>
      <c r="D152" s="34">
        <v>1</v>
      </c>
      <c r="E152" s="73">
        <v>14617430</v>
      </c>
      <c r="F152" s="73">
        <v>0</v>
      </c>
      <c r="G152" s="73">
        <v>0</v>
      </c>
      <c r="H152" s="12">
        <f t="shared" si="14"/>
        <v>14617430</v>
      </c>
      <c r="I152" s="12">
        <f t="shared" si="15"/>
        <v>1169394.4000000001</v>
      </c>
      <c r="J152" s="12">
        <f t="shared" si="16"/>
        <v>1169394.4000000001</v>
      </c>
      <c r="K152" s="12">
        <f t="shared" si="17"/>
        <v>847810.94000000006</v>
      </c>
      <c r="L152" s="12">
        <f t="shared" si="18"/>
        <v>3186599.74</v>
      </c>
      <c r="M152" s="12">
        <f t="shared" si="19"/>
        <v>17804029.740000002</v>
      </c>
      <c r="N152" s="12">
        <f t="shared" si="20"/>
        <v>17804029.740000002</v>
      </c>
      <c r="O152" s="14">
        <f>IF(OR($N152="",$N$162=""),"",IFERROR($N152/$N$162,0))</f>
        <v>3.2387357975739668E-2</v>
      </c>
    </row>
    <row r="153" spans="1:15" ht="15.6">
      <c r="A153" s="56">
        <v>2</v>
      </c>
      <c r="B153" s="57" t="s">
        <v>271</v>
      </c>
      <c r="C153" s="58" t="s">
        <v>153</v>
      </c>
      <c r="D153" s="34">
        <v>1</v>
      </c>
      <c r="E153" s="65">
        <v>631772</v>
      </c>
      <c r="F153" s="65">
        <v>0</v>
      </c>
      <c r="G153" s="65">
        <v>0</v>
      </c>
      <c r="H153" s="12">
        <f t="shared" si="14"/>
        <v>631772</v>
      </c>
      <c r="I153" s="12">
        <f t="shared" si="15"/>
        <v>50541.760000000002</v>
      </c>
      <c r="J153" s="12">
        <f t="shared" si="16"/>
        <v>50541.760000000002</v>
      </c>
      <c r="K153" s="12">
        <f t="shared" si="17"/>
        <v>36642.776000000005</v>
      </c>
      <c r="L153" s="12">
        <f t="shared" si="18"/>
        <v>137726.296</v>
      </c>
      <c r="M153" s="12">
        <f t="shared" si="19"/>
        <v>769498.29599999997</v>
      </c>
      <c r="N153" s="12">
        <f t="shared" si="20"/>
        <v>769498.29599999997</v>
      </c>
      <c r="O153" s="14">
        <f>IF(OR($N153="",$N$162=""),"",IFERROR($N153/$N$162,0))</f>
        <v>1.3997964021752799E-3</v>
      </c>
    </row>
    <row r="154" spans="1:15" ht="15.6">
      <c r="A154" s="56">
        <v>3</v>
      </c>
      <c r="B154" s="57" t="s">
        <v>272</v>
      </c>
      <c r="C154" s="58" t="s">
        <v>153</v>
      </c>
      <c r="D154" s="34">
        <v>1</v>
      </c>
      <c r="E154" s="65">
        <v>143370</v>
      </c>
      <c r="F154" s="65">
        <v>0</v>
      </c>
      <c r="G154" s="65">
        <v>0</v>
      </c>
      <c r="H154" s="12">
        <f t="shared" si="14"/>
        <v>143370</v>
      </c>
      <c r="I154" s="12">
        <f t="shared" si="15"/>
        <v>11469.6</v>
      </c>
      <c r="J154" s="12">
        <f t="shared" si="16"/>
        <v>11469.6</v>
      </c>
      <c r="K154" s="12">
        <f t="shared" si="17"/>
        <v>8315.4600000000009</v>
      </c>
      <c r="L154" s="12">
        <f t="shared" si="18"/>
        <v>31254.660000000003</v>
      </c>
      <c r="M154" s="12">
        <f t="shared" si="19"/>
        <v>174624.66</v>
      </c>
      <c r="N154" s="12">
        <f t="shared" si="20"/>
        <v>174624.66</v>
      </c>
      <c r="O154" s="14">
        <f>IF(OR($N154="",$N$162=""),"",IFERROR($N154/$N$162,0))</f>
        <v>3.1766018465501778E-4</v>
      </c>
    </row>
    <row r="155" spans="1:15" ht="15.6">
      <c r="A155" s="56">
        <v>4</v>
      </c>
      <c r="B155" s="57" t="s">
        <v>273</v>
      </c>
      <c r="C155" s="58" t="s">
        <v>153</v>
      </c>
      <c r="D155" s="34">
        <v>1</v>
      </c>
      <c r="E155" s="73">
        <v>708000</v>
      </c>
      <c r="F155" s="73">
        <v>0</v>
      </c>
      <c r="G155" s="73">
        <v>0</v>
      </c>
      <c r="H155" s="12">
        <f t="shared" si="14"/>
        <v>708000</v>
      </c>
      <c r="I155" s="12">
        <f t="shared" si="15"/>
        <v>56640</v>
      </c>
      <c r="J155" s="12">
        <f t="shared" si="16"/>
        <v>56640</v>
      </c>
      <c r="K155" s="12">
        <f t="shared" si="17"/>
        <v>41064</v>
      </c>
      <c r="L155" s="12">
        <f t="shared" si="18"/>
        <v>154344</v>
      </c>
      <c r="M155" s="12">
        <f t="shared" si="19"/>
        <v>862344</v>
      </c>
      <c r="N155" s="12">
        <f t="shared" si="20"/>
        <v>862344</v>
      </c>
      <c r="O155" s="14">
        <f>IF(OR($N155="",$N$162=""),"",IFERROR($N155/$N$162,0))</f>
        <v>1.5686922699013222E-3</v>
      </c>
    </row>
    <row r="156" spans="1:15" ht="15.9" thickBot="1">
      <c r="A156" s="56">
        <v>5</v>
      </c>
      <c r="B156" s="57" t="s">
        <v>274</v>
      </c>
      <c r="C156" s="58" t="s">
        <v>153</v>
      </c>
      <c r="D156" s="34">
        <v>1</v>
      </c>
      <c r="E156" s="73">
        <v>1178248.8799999999</v>
      </c>
      <c r="F156" s="73">
        <v>0</v>
      </c>
      <c r="G156" s="73">
        <v>0</v>
      </c>
      <c r="H156" s="12">
        <f t="shared" si="14"/>
        <v>1178248.8799999999</v>
      </c>
      <c r="I156" s="12">
        <f t="shared" si="15"/>
        <v>94259.910399999993</v>
      </c>
      <c r="J156" s="12">
        <f t="shared" si="16"/>
        <v>94259.910399999993</v>
      </c>
      <c r="K156" s="12">
        <f t="shared" si="17"/>
        <v>68338.435039999997</v>
      </c>
      <c r="L156" s="12">
        <f t="shared" si="18"/>
        <v>256858.25584</v>
      </c>
      <c r="M156" s="12">
        <f t="shared" si="19"/>
        <v>1435107.1358399999</v>
      </c>
      <c r="N156" s="12">
        <f t="shared" si="20"/>
        <v>1435107.1358399999</v>
      </c>
      <c r="O156" s="14">
        <f>IF(OR($N156="",$N$162=""),"",IFERROR($N156/$N$162,0))</f>
        <v>2.6106072176213142E-3</v>
      </c>
    </row>
    <row r="157" spans="1:15" ht="15.9" thickBot="1">
      <c r="A157" s="42" t="s">
        <v>314</v>
      </c>
      <c r="B157" s="55" t="s">
        <v>315</v>
      </c>
      <c r="C157" s="43"/>
      <c r="D157" s="44"/>
      <c r="E157" s="44"/>
      <c r="F157" s="44"/>
      <c r="G157" s="44"/>
      <c r="H157" s="12">
        <f t="shared" si="14"/>
        <v>0</v>
      </c>
      <c r="I157" s="12">
        <f t="shared" si="15"/>
        <v>0</v>
      </c>
      <c r="J157" s="12">
        <f t="shared" si="16"/>
        <v>0</v>
      </c>
      <c r="K157" s="12">
        <f t="shared" si="17"/>
        <v>0</v>
      </c>
      <c r="L157" s="12">
        <f t="shared" si="18"/>
        <v>0</v>
      </c>
      <c r="M157" s="12" t="str">
        <f t="shared" si="19"/>
        <v/>
      </c>
      <c r="N157" s="12">
        <f t="shared" si="20"/>
        <v>0</v>
      </c>
      <c r="O157" s="14">
        <f>IF(OR($N157="",$N$162=""),"",IFERROR($N157/$N$162,0))</f>
        <v>0</v>
      </c>
    </row>
    <row r="158" spans="1:15" ht="15.9" thickBot="1">
      <c r="A158" s="56">
        <v>1</v>
      </c>
      <c r="B158" s="57" t="s">
        <v>275</v>
      </c>
      <c r="C158" s="58" t="s">
        <v>153</v>
      </c>
      <c r="D158" s="34">
        <v>1</v>
      </c>
      <c r="E158" s="73">
        <v>5087760</v>
      </c>
      <c r="F158" s="73">
        <v>0</v>
      </c>
      <c r="G158" s="73">
        <v>0</v>
      </c>
      <c r="H158" s="12">
        <f t="shared" si="14"/>
        <v>5087760</v>
      </c>
      <c r="I158" s="12">
        <f t="shared" si="15"/>
        <v>407020.79999999999</v>
      </c>
      <c r="J158" s="12">
        <f t="shared" si="16"/>
        <v>407020.79999999999</v>
      </c>
      <c r="K158" s="12">
        <f t="shared" si="17"/>
        <v>295090.08</v>
      </c>
      <c r="L158" s="12">
        <f t="shared" si="18"/>
        <v>1109131.68</v>
      </c>
      <c r="M158" s="12">
        <f t="shared" si="19"/>
        <v>6196891.6799999997</v>
      </c>
      <c r="N158" s="12">
        <f t="shared" si="20"/>
        <v>6196891.6799999997</v>
      </c>
      <c r="O158" s="14">
        <f>IF(OR($N158="",$N$162=""),"",IFERROR($N158/$N$162,0))</f>
        <v>1.1272782179538348E-2</v>
      </c>
    </row>
    <row r="159" spans="1:15" ht="15.9" thickBot="1">
      <c r="A159" s="42" t="s">
        <v>316</v>
      </c>
      <c r="B159" s="55" t="s">
        <v>276</v>
      </c>
      <c r="C159" s="43"/>
      <c r="D159" s="44"/>
      <c r="E159" s="44"/>
      <c r="F159" s="44"/>
      <c r="G159" s="44"/>
      <c r="H159" s="12">
        <f t="shared" si="14"/>
        <v>0</v>
      </c>
      <c r="I159" s="12">
        <f t="shared" si="15"/>
        <v>0</v>
      </c>
      <c r="J159" s="12">
        <f t="shared" si="16"/>
        <v>0</v>
      </c>
      <c r="K159" s="12">
        <f t="shared" si="17"/>
        <v>0</v>
      </c>
      <c r="L159" s="12">
        <f t="shared" si="18"/>
        <v>0</v>
      </c>
      <c r="M159" s="12" t="str">
        <f t="shared" si="19"/>
        <v/>
      </c>
      <c r="N159" s="12">
        <f t="shared" si="20"/>
        <v>0</v>
      </c>
      <c r="O159" s="14">
        <f>IF(OR($N159="",$N$162=""),"",IFERROR($N159/$N$162,0))</f>
        <v>0</v>
      </c>
    </row>
    <row r="160" spans="1:15" ht="15.6">
      <c r="A160" s="56">
        <v>1</v>
      </c>
      <c r="B160" s="57" t="s">
        <v>276</v>
      </c>
      <c r="C160" s="58" t="s">
        <v>153</v>
      </c>
      <c r="D160" s="34">
        <v>1</v>
      </c>
      <c r="E160" s="73">
        <v>12847534.8522167</v>
      </c>
      <c r="F160" s="73">
        <v>0</v>
      </c>
      <c r="G160" s="73">
        <v>0</v>
      </c>
      <c r="H160" s="12">
        <f t="shared" si="14"/>
        <v>12847534.8522167</v>
      </c>
      <c r="I160" s="12">
        <f t="shared" si="15"/>
        <v>1027802.788177336</v>
      </c>
      <c r="J160" s="12">
        <f t="shared" si="16"/>
        <v>1027802.788177336</v>
      </c>
      <c r="K160" s="12">
        <f t="shared" si="17"/>
        <v>745157.02142856864</v>
      </c>
      <c r="L160" s="12">
        <f t="shared" si="18"/>
        <v>2800762.5977832405</v>
      </c>
      <c r="M160" s="12">
        <f t="shared" si="19"/>
        <v>15648297.44999994</v>
      </c>
      <c r="N160" s="12">
        <f t="shared" si="20"/>
        <v>15648297.44999994</v>
      </c>
      <c r="O160" s="14">
        <f>IF(OR($N160="",$N$162=""),"",IFERROR($N160/$N$162,0))</f>
        <v>2.8465859618587799E-2</v>
      </c>
    </row>
    <row r="161" spans="1:15">
      <c r="A161" s="13"/>
      <c r="B161" s="9"/>
      <c r="C161" s="8"/>
      <c r="D161" s="10"/>
      <c r="E161" s="11"/>
      <c r="F161" s="11"/>
      <c r="G161" s="11"/>
      <c r="H161" s="12" t="str">
        <f t="shared" si="14"/>
        <v/>
      </c>
      <c r="I161" s="12" t="str">
        <f t="shared" si="15"/>
        <v/>
      </c>
      <c r="J161" s="12" t="str">
        <f t="shared" si="16"/>
        <v/>
      </c>
      <c r="K161" s="12" t="str">
        <f t="shared" si="17"/>
        <v/>
      </c>
      <c r="L161" s="12" t="str">
        <f t="shared" si="18"/>
        <v/>
      </c>
      <c r="M161" s="12" t="str">
        <f t="shared" si="19"/>
        <v/>
      </c>
      <c r="N161" s="12" t="str">
        <f t="shared" si="20"/>
        <v/>
      </c>
      <c r="O161" s="14" t="str">
        <f>IF(OR($N161="",$N$162=""),"",IFERROR($N161/$N$162,0))</f>
        <v/>
      </c>
    </row>
    <row r="162" spans="1:15">
      <c r="A162" s="25" t="s">
        <v>17</v>
      </c>
      <c r="B162" s="19"/>
      <c r="C162" s="19"/>
      <c r="D162" s="19"/>
      <c r="E162" s="19"/>
      <c r="F162" s="19"/>
      <c r="G162" s="20"/>
      <c r="H162" s="16">
        <f>SUM(H14:H161)</f>
        <v>451331350.05792844</v>
      </c>
      <c r="I162" s="16">
        <f>SUM(I14:I161)</f>
        <v>36106508.004634291</v>
      </c>
      <c r="J162" s="16">
        <f>SUM(J14:J161)</f>
        <v>36106508.004634291</v>
      </c>
      <c r="K162" s="16">
        <f>SUM(K14:K161)</f>
        <v>26177218.303359836</v>
      </c>
      <c r="L162" s="16">
        <f>SUM(L14:L161)</f>
        <v>98390234.312628418</v>
      </c>
      <c r="M162" s="16">
        <f>IFERROR(N162/SUM(D14:D161),"")</f>
        <v>359.21280797624331</v>
      </c>
      <c r="N162" s="16">
        <f>SUM(N14:N161)</f>
        <v>549721584.37055683</v>
      </c>
      <c r="O162" s="17">
        <f>SUM(O14:O161)</f>
        <v>1</v>
      </c>
    </row>
  </sheetData>
  <mergeCells count="18">
    <mergeCell ref="A162:G162"/>
    <mergeCell ref="A11:A13"/>
    <mergeCell ref="J11:J12"/>
    <mergeCell ref="C11:C13"/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  <mergeCell ref="G12:G13"/>
    <mergeCell ref="E11:G1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Reference_Lists!$A$2:$A$11</xm:f>
          </x14:formula1>
          <xm:sqref>C161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/>
  </sheetViews>
  <sheetFormatPr defaultRowHeight="13.8"/>
  <cols>
    <col min="1" max="1" width="15" customWidth="1"/>
    <col min="2" max="2" width="25" customWidth="1"/>
    <col min="3" max="3" width="12" customWidth="1"/>
    <col min="4" max="4" width="34" customWidth="1"/>
    <col min="5" max="5" width="15" customWidth="1"/>
    <col min="6" max="6" width="36" customWidth="1"/>
  </cols>
  <sheetData>
    <row r="1" spans="1:6" ht="10.45" customHeight="1">
      <c r="A1" s="4" t="s">
        <v>18</v>
      </c>
      <c r="B1" s="4"/>
      <c r="C1" s="4"/>
      <c r="D1" s="4"/>
      <c r="E1" s="4"/>
      <c r="F1" s="4"/>
    </row>
    <row r="2" spans="1:6">
      <c r="A2" s="5" t="s">
        <v>19</v>
      </c>
      <c r="B2" s="5" t="s">
        <v>20</v>
      </c>
      <c r="C2" s="5"/>
      <c r="D2" s="5"/>
      <c r="E2" s="5"/>
      <c r="F2" s="5"/>
    </row>
    <row r="3" spans="1:6">
      <c r="A3" s="5" t="s">
        <v>21</v>
      </c>
      <c r="B3" s="5" t="s">
        <v>22</v>
      </c>
      <c r="C3" s="5"/>
      <c r="D3" s="5"/>
      <c r="E3" s="5"/>
      <c r="F3" s="5"/>
    </row>
    <row r="4" spans="1:6">
      <c r="A4" s="5" t="s">
        <v>23</v>
      </c>
      <c r="B4" s="5" t="s">
        <v>24</v>
      </c>
      <c r="C4" s="5"/>
      <c r="D4" s="5"/>
      <c r="E4" s="5"/>
      <c r="F4" s="5"/>
    </row>
    <row r="5" spans="1:6">
      <c r="A5" s="5" t="s">
        <v>25</v>
      </c>
      <c r="B5" s="5" t="s">
        <v>26</v>
      </c>
      <c r="C5" s="5"/>
      <c r="D5" s="5"/>
      <c r="E5" s="5"/>
      <c r="F5" s="5"/>
    </row>
    <row r="6" spans="1:6">
      <c r="A6" s="5" t="s">
        <v>27</v>
      </c>
      <c r="B6" s="5" t="s">
        <v>28</v>
      </c>
      <c r="C6" s="5"/>
      <c r="D6" s="5"/>
      <c r="E6" s="5"/>
      <c r="F6" s="5"/>
    </row>
    <row r="7" spans="1:6">
      <c r="A7" s="5" t="s">
        <v>29</v>
      </c>
      <c r="B7" s="5" t="s">
        <v>30</v>
      </c>
      <c r="C7" s="5"/>
      <c r="D7" s="5"/>
      <c r="E7" s="5"/>
      <c r="F7" s="5"/>
    </row>
    <row r="8" spans="1:6">
      <c r="A8" s="5" t="s">
        <v>31</v>
      </c>
      <c r="B8" s="5" t="s">
        <v>32</v>
      </c>
      <c r="C8" s="5"/>
      <c r="D8" s="5"/>
      <c r="E8" s="5"/>
      <c r="F8" s="5"/>
    </row>
    <row r="9" spans="1:6">
      <c r="A9" s="5" t="s">
        <v>33</v>
      </c>
      <c r="B9" s="5" t="s">
        <v>34</v>
      </c>
      <c r="C9" s="5"/>
      <c r="D9" s="5"/>
      <c r="E9" s="5"/>
      <c r="F9" s="5"/>
    </row>
    <row r="10" spans="1:6">
      <c r="A10" s="5" t="s">
        <v>35</v>
      </c>
      <c r="B10" s="5" t="s">
        <v>36</v>
      </c>
      <c r="C10" s="5"/>
      <c r="D10" s="5"/>
      <c r="E10" s="5"/>
      <c r="F10" s="5"/>
    </row>
    <row r="11" spans="1:6">
      <c r="A11" s="5" t="s">
        <v>37</v>
      </c>
      <c r="B11" s="5" t="s">
        <v>38</v>
      </c>
      <c r="C11" s="5"/>
      <c r="D11" s="5"/>
      <c r="E11" s="5"/>
      <c r="F11" s="5"/>
    </row>
    <row r="12" spans="1:6">
      <c r="A12" s="5" t="s">
        <v>39</v>
      </c>
      <c r="B12" s="5" t="s">
        <v>40</v>
      </c>
      <c r="C12" s="5"/>
      <c r="D12" s="5"/>
      <c r="E12" s="5"/>
      <c r="F12" s="5"/>
    </row>
    <row r="13" spans="1:6">
      <c r="A13" s="6" t="s">
        <v>41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46</v>
      </c>
    </row>
    <row r="14" spans="1:6">
      <c r="A14" s="7" t="s">
        <v>47</v>
      </c>
      <c r="B14" s="7" t="s">
        <v>48</v>
      </c>
      <c r="C14" s="7" t="s">
        <v>49</v>
      </c>
      <c r="D14" s="7" t="s">
        <v>50</v>
      </c>
      <c r="E14" s="7" t="s">
        <v>51</v>
      </c>
      <c r="F14" s="7" t="s">
        <v>52</v>
      </c>
    </row>
    <row r="15" spans="1:6">
      <c r="A15" s="7" t="s">
        <v>53</v>
      </c>
      <c r="B15" s="7" t="s">
        <v>54</v>
      </c>
      <c r="C15" s="7" t="s">
        <v>49</v>
      </c>
      <c r="D15" s="7" t="s">
        <v>50</v>
      </c>
      <c r="E15" s="7" t="s">
        <v>55</v>
      </c>
      <c r="F15" s="7" t="s">
        <v>56</v>
      </c>
    </row>
    <row r="16" spans="1:6">
      <c r="A16" s="7" t="s">
        <v>57</v>
      </c>
      <c r="B16" s="7" t="s">
        <v>58</v>
      </c>
      <c r="C16" s="7" t="s">
        <v>49</v>
      </c>
      <c r="D16" s="7" t="s">
        <v>50</v>
      </c>
      <c r="E16" s="7" t="s">
        <v>55</v>
      </c>
      <c r="F16" s="7" t="s">
        <v>59</v>
      </c>
    </row>
    <row r="17" spans="1:6">
      <c r="A17" s="7" t="s">
        <v>60</v>
      </c>
      <c r="B17" s="7" t="s">
        <v>61</v>
      </c>
      <c r="C17" s="7" t="s">
        <v>49</v>
      </c>
      <c r="D17" s="7" t="s">
        <v>50</v>
      </c>
      <c r="E17" s="7" t="s">
        <v>62</v>
      </c>
      <c r="F17" s="7" t="s">
        <v>63</v>
      </c>
    </row>
    <row r="18" spans="1:6">
      <c r="A18" s="7" t="s">
        <v>64</v>
      </c>
      <c r="B18" s="7" t="s">
        <v>65</v>
      </c>
      <c r="C18" s="7" t="s">
        <v>49</v>
      </c>
      <c r="D18" s="7" t="s">
        <v>50</v>
      </c>
      <c r="E18" s="7" t="s">
        <v>62</v>
      </c>
      <c r="F18" s="7" t="s">
        <v>66</v>
      </c>
    </row>
    <row r="19" spans="1:6">
      <c r="A19" s="7" t="s">
        <v>67</v>
      </c>
      <c r="B19" s="7" t="s">
        <v>68</v>
      </c>
      <c r="C19" s="7" t="s">
        <v>49</v>
      </c>
      <c r="D19" s="7" t="s">
        <v>50</v>
      </c>
      <c r="E19" s="7" t="s">
        <v>62</v>
      </c>
      <c r="F19" s="7" t="s">
        <v>69</v>
      </c>
    </row>
    <row r="20" spans="1:6">
      <c r="A20" s="7" t="s">
        <v>70</v>
      </c>
      <c r="B20" s="7" t="s">
        <v>71</v>
      </c>
      <c r="C20" s="7" t="s">
        <v>49</v>
      </c>
      <c r="D20" s="7" t="s">
        <v>50</v>
      </c>
      <c r="E20" s="7" t="s">
        <v>62</v>
      </c>
      <c r="F20" s="7" t="s">
        <v>72</v>
      </c>
    </row>
    <row r="21" spans="1:6">
      <c r="A21" s="7" t="s">
        <v>73</v>
      </c>
      <c r="B21" s="7" t="s">
        <v>74</v>
      </c>
      <c r="C21" s="7" t="s">
        <v>75</v>
      </c>
      <c r="D21" s="7" t="s">
        <v>76</v>
      </c>
      <c r="E21" s="7" t="s">
        <v>62</v>
      </c>
      <c r="F21" s="7" t="s">
        <v>77</v>
      </c>
    </row>
    <row r="22" spans="1:6">
      <c r="A22" s="7" t="s">
        <v>78</v>
      </c>
      <c r="B22" s="7" t="s">
        <v>7</v>
      </c>
      <c r="C22" s="7" t="s">
        <v>75</v>
      </c>
      <c r="D22" s="7" t="s">
        <v>79</v>
      </c>
      <c r="E22" s="7" t="s">
        <v>62</v>
      </c>
      <c r="F22" s="7" t="s">
        <v>80</v>
      </c>
    </row>
    <row r="23" spans="1:6">
      <c r="A23" s="7" t="s">
        <v>81</v>
      </c>
      <c r="B23" s="7" t="s">
        <v>8</v>
      </c>
      <c r="C23" s="7" t="s">
        <v>75</v>
      </c>
      <c r="D23" s="7" t="s">
        <v>82</v>
      </c>
      <c r="E23" s="7" t="s">
        <v>62</v>
      </c>
      <c r="F23" s="7" t="s">
        <v>83</v>
      </c>
    </row>
    <row r="24" spans="1:6">
      <c r="A24" s="7" t="s">
        <v>84</v>
      </c>
      <c r="B24" s="7" t="s">
        <v>85</v>
      </c>
      <c r="C24" s="7" t="s">
        <v>75</v>
      </c>
      <c r="D24" s="7" t="s">
        <v>86</v>
      </c>
      <c r="E24" s="7" t="s">
        <v>62</v>
      </c>
      <c r="F24" s="7" t="s">
        <v>87</v>
      </c>
    </row>
    <row r="25" spans="1:6">
      <c r="A25" s="7" t="s">
        <v>88</v>
      </c>
      <c r="B25" s="7" t="s">
        <v>89</v>
      </c>
      <c r="C25" s="7" t="s">
        <v>75</v>
      </c>
      <c r="D25" s="7" t="s">
        <v>90</v>
      </c>
      <c r="E25" s="7" t="s">
        <v>62</v>
      </c>
      <c r="F25" s="7"/>
    </row>
    <row r="26" spans="1:6">
      <c r="A26" s="7" t="s">
        <v>91</v>
      </c>
      <c r="B26" s="7" t="s">
        <v>92</v>
      </c>
      <c r="C26" s="7" t="s">
        <v>75</v>
      </c>
      <c r="D26" s="7" t="s">
        <v>93</v>
      </c>
      <c r="E26" s="7" t="s">
        <v>62</v>
      </c>
      <c r="F26" s="7"/>
    </row>
    <row r="27" spans="1:6">
      <c r="A27" s="7" t="s">
        <v>94</v>
      </c>
      <c r="B27" s="7" t="s">
        <v>95</v>
      </c>
      <c r="C27" s="7" t="s">
        <v>75</v>
      </c>
      <c r="D27" s="7" t="s">
        <v>96</v>
      </c>
      <c r="E27" s="7" t="s">
        <v>62</v>
      </c>
      <c r="F27" s="7" t="s">
        <v>97</v>
      </c>
    </row>
    <row r="28" spans="1:6">
      <c r="A28" s="7" t="s">
        <v>98</v>
      </c>
      <c r="B28" s="7" t="s">
        <v>99</v>
      </c>
      <c r="C28" s="7" t="s">
        <v>75</v>
      </c>
      <c r="D28" s="7" t="s">
        <v>100</v>
      </c>
      <c r="E28" s="7" t="s">
        <v>101</v>
      </c>
      <c r="F28" s="7" t="s">
        <v>102</v>
      </c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  <row r="31" spans="1:6">
      <c r="A31" s="5"/>
      <c r="B31" s="5"/>
      <c r="C31" s="5"/>
      <c r="D31" s="5"/>
      <c r="E31" s="5"/>
      <c r="F31" s="5"/>
    </row>
    <row r="32" spans="1:6">
      <c r="A32" s="5"/>
      <c r="B32" s="5"/>
      <c r="C32" s="5"/>
      <c r="D32" s="5"/>
      <c r="E32" s="5"/>
      <c r="F32" s="5"/>
    </row>
    <row r="33" spans="1:6">
      <c r="A33" s="5"/>
      <c r="B33" s="5"/>
      <c r="C33" s="5"/>
      <c r="D33" s="5"/>
      <c r="E33" s="5"/>
      <c r="F33" s="5"/>
    </row>
    <row r="34" spans="1:6">
      <c r="A34" s="5"/>
      <c r="B34" s="5"/>
      <c r="C34" s="5"/>
      <c r="D34" s="5"/>
      <c r="E34" s="5"/>
      <c r="F34" s="5"/>
    </row>
    <row r="35" spans="1:6">
      <c r="A35" s="5"/>
      <c r="B35" s="5"/>
      <c r="C35" s="5"/>
      <c r="D35" s="5"/>
      <c r="E35" s="5"/>
      <c r="F35" s="5"/>
    </row>
    <row r="36" spans="1:6">
      <c r="A36" s="5"/>
      <c r="B36" s="5"/>
      <c r="C36" s="5"/>
      <c r="D36" s="5"/>
      <c r="E36" s="5"/>
      <c r="F36" s="5"/>
    </row>
    <row r="37" spans="1:6">
      <c r="A37" s="5"/>
      <c r="B37" s="5"/>
      <c r="C37" s="5"/>
      <c r="D37" s="5"/>
      <c r="E37" s="5"/>
      <c r="F37" s="5"/>
    </row>
    <row r="38" spans="1:6">
      <c r="A38" s="5"/>
      <c r="B38" s="5"/>
      <c r="C38" s="5"/>
      <c r="D38" s="5"/>
      <c r="E38" s="5"/>
      <c r="F38" s="5"/>
    </row>
    <row r="39" spans="1:6">
      <c r="A39" s="5"/>
      <c r="B39" s="5"/>
      <c r="C39" s="5"/>
      <c r="D39" s="5"/>
      <c r="E39" s="5"/>
      <c r="F39" s="5"/>
    </row>
    <row r="40" spans="1:6">
      <c r="A40" s="5"/>
      <c r="B40" s="5"/>
      <c r="C40" s="5"/>
      <c r="D40" s="5"/>
      <c r="E40" s="5"/>
      <c r="F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3.8"/>
  <cols>
    <col min="1" max="1" width="12" customWidth="1"/>
    <col min="2" max="2" width="25" customWidth="1"/>
    <col min="3" max="3" width="28" customWidth="1"/>
    <col min="4" max="4" width="18" customWidth="1"/>
    <col min="5" max="5" width="35" customWidth="1"/>
  </cols>
  <sheetData>
    <row r="1" spans="1:5" ht="10.45" customHeight="1">
      <c r="A1" s="1" t="s">
        <v>103</v>
      </c>
      <c r="B1" s="1"/>
      <c r="C1" s="1"/>
      <c r="D1" s="1"/>
      <c r="E1" s="1"/>
    </row>
    <row r="2" spans="1:5">
      <c r="A2" t="s">
        <v>104</v>
      </c>
      <c r="B2" t="s">
        <v>22</v>
      </c>
    </row>
    <row r="3" spans="1:5">
      <c r="A3" t="s">
        <v>105</v>
      </c>
      <c r="B3" t="s">
        <v>106</v>
      </c>
    </row>
    <row r="4" spans="1:5">
      <c r="A4" t="s">
        <v>107</v>
      </c>
      <c r="B4" t="s">
        <v>108</v>
      </c>
    </row>
    <row r="5" spans="1:5">
      <c r="A5" t="s">
        <v>109</v>
      </c>
      <c r="B5" t="s">
        <v>110</v>
      </c>
    </row>
    <row r="6" spans="1:5">
      <c r="A6" s="2" t="s">
        <v>41</v>
      </c>
      <c r="B6" s="2" t="s">
        <v>111</v>
      </c>
      <c r="C6" s="2" t="s">
        <v>112</v>
      </c>
      <c r="D6" s="2" t="s">
        <v>113</v>
      </c>
      <c r="E6" s="2" t="s">
        <v>114</v>
      </c>
    </row>
    <row r="7" spans="1:5">
      <c r="A7" s="3" t="s">
        <v>47</v>
      </c>
      <c r="B7" s="3" t="s">
        <v>1</v>
      </c>
      <c r="C7" s="3" t="s">
        <v>115</v>
      </c>
      <c r="D7" s="3" t="s">
        <v>116</v>
      </c>
      <c r="E7" s="3" t="s">
        <v>117</v>
      </c>
    </row>
    <row r="8" spans="1:5">
      <c r="A8" s="3" t="s">
        <v>53</v>
      </c>
      <c r="B8" s="3" t="s">
        <v>118</v>
      </c>
      <c r="C8" s="3" t="s">
        <v>119</v>
      </c>
      <c r="D8" s="3" t="s">
        <v>116</v>
      </c>
      <c r="E8" s="3" t="s">
        <v>120</v>
      </c>
    </row>
    <row r="9" spans="1:5">
      <c r="A9" s="3" t="s">
        <v>57</v>
      </c>
      <c r="B9" s="3" t="s">
        <v>3</v>
      </c>
      <c r="C9" s="3" t="s">
        <v>121</v>
      </c>
      <c r="D9" s="3" t="s">
        <v>116</v>
      </c>
      <c r="E9" s="3" t="s">
        <v>122</v>
      </c>
    </row>
    <row r="10" spans="1:5">
      <c r="A10" s="3" t="s">
        <v>60</v>
      </c>
      <c r="B10" s="3" t="s">
        <v>4</v>
      </c>
      <c r="C10" s="3" t="s">
        <v>123</v>
      </c>
      <c r="D10" s="3" t="s">
        <v>124</v>
      </c>
      <c r="E10" s="3" t="s">
        <v>125</v>
      </c>
    </row>
    <row r="11" spans="1:5">
      <c r="A11" s="3" t="s">
        <v>64</v>
      </c>
      <c r="B11" s="3" t="s">
        <v>14</v>
      </c>
      <c r="C11" s="3" t="s">
        <v>126</v>
      </c>
      <c r="D11" s="3" t="s">
        <v>124</v>
      </c>
      <c r="E11" s="3" t="s">
        <v>127</v>
      </c>
    </row>
    <row r="12" spans="1:5">
      <c r="A12" s="3" t="s">
        <v>67</v>
      </c>
      <c r="B12" s="3" t="s">
        <v>15</v>
      </c>
      <c r="C12" s="3" t="s">
        <v>128</v>
      </c>
      <c r="D12" s="3" t="s">
        <v>124</v>
      </c>
      <c r="E12" s="3" t="s">
        <v>127</v>
      </c>
    </row>
    <row r="13" spans="1:5">
      <c r="A13" s="3" t="s">
        <v>70</v>
      </c>
      <c r="B13" s="3" t="s">
        <v>16</v>
      </c>
      <c r="C13" s="3" t="s">
        <v>129</v>
      </c>
      <c r="D13" s="3" t="s">
        <v>124</v>
      </c>
      <c r="E13" s="3" t="s">
        <v>127</v>
      </c>
    </row>
    <row r="14" spans="1:5">
      <c r="A14" s="3" t="s">
        <v>73</v>
      </c>
      <c r="B14" s="3" t="s">
        <v>130</v>
      </c>
      <c r="C14" s="3" t="s">
        <v>131</v>
      </c>
      <c r="D14" s="3" t="s">
        <v>132</v>
      </c>
      <c r="E14" s="3" t="s">
        <v>133</v>
      </c>
    </row>
    <row r="15" spans="1:5">
      <c r="A15" s="3" t="s">
        <v>78</v>
      </c>
      <c r="B15" s="3" t="s">
        <v>7</v>
      </c>
      <c r="C15" s="3" t="s">
        <v>134</v>
      </c>
      <c r="D15" s="3" t="s">
        <v>132</v>
      </c>
      <c r="E15" s="3" t="s">
        <v>135</v>
      </c>
    </row>
    <row r="16" spans="1:5">
      <c r="A16" s="3" t="s">
        <v>81</v>
      </c>
      <c r="B16" s="3" t="s">
        <v>8</v>
      </c>
      <c r="C16" s="3" t="s">
        <v>136</v>
      </c>
      <c r="D16" s="3" t="s">
        <v>132</v>
      </c>
      <c r="E16" s="3" t="s">
        <v>137</v>
      </c>
    </row>
    <row r="17" spans="1:5">
      <c r="A17" s="3" t="s">
        <v>84</v>
      </c>
      <c r="B17" s="3" t="s">
        <v>85</v>
      </c>
      <c r="C17" s="3" t="s">
        <v>138</v>
      </c>
      <c r="D17" s="3" t="s">
        <v>132</v>
      </c>
      <c r="E17" s="3" t="s">
        <v>139</v>
      </c>
    </row>
    <row r="18" spans="1:5">
      <c r="A18" s="3" t="s">
        <v>88</v>
      </c>
      <c r="B18" s="3" t="s">
        <v>140</v>
      </c>
      <c r="C18" s="3" t="s">
        <v>141</v>
      </c>
      <c r="D18" s="3" t="s">
        <v>132</v>
      </c>
      <c r="E18" s="3" t="s">
        <v>142</v>
      </c>
    </row>
    <row r="19" spans="1:5">
      <c r="A19" s="3" t="s">
        <v>91</v>
      </c>
      <c r="B19" s="3" t="s">
        <v>11</v>
      </c>
      <c r="C19" s="3" t="s">
        <v>143</v>
      </c>
      <c r="D19" s="3" t="s">
        <v>132</v>
      </c>
      <c r="E19" s="3" t="s">
        <v>144</v>
      </c>
    </row>
    <row r="20" spans="1:5">
      <c r="A20" s="3" t="s">
        <v>94</v>
      </c>
      <c r="B20" s="3" t="s">
        <v>12</v>
      </c>
      <c r="C20" s="3" t="s">
        <v>145</v>
      </c>
      <c r="D20" s="3" t="s">
        <v>132</v>
      </c>
      <c r="E20" s="3" t="s">
        <v>146</v>
      </c>
    </row>
    <row r="21" spans="1:5">
      <c r="A21" s="3" t="s">
        <v>98</v>
      </c>
      <c r="B21" s="3" t="s">
        <v>13</v>
      </c>
      <c r="C21" s="3" t="s">
        <v>147</v>
      </c>
      <c r="D21" s="3" t="s">
        <v>148</v>
      </c>
      <c r="E21" s="3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8"/>
  <cols>
    <col min="1" max="3" width="18" customWidth="1"/>
    <col min="4" max="4" width="40" customWidth="1"/>
  </cols>
  <sheetData>
    <row r="1" spans="1:4">
      <c r="A1" s="2" t="s">
        <v>150</v>
      </c>
      <c r="B1" s="2" t="s">
        <v>151</v>
      </c>
      <c r="C1" s="2" t="s">
        <v>152</v>
      </c>
      <c r="D1" s="2" t="s">
        <v>46</v>
      </c>
    </row>
    <row r="2" spans="1:4">
      <c r="A2" t="s">
        <v>153</v>
      </c>
      <c r="B2" t="s">
        <v>154</v>
      </c>
      <c r="C2" t="s">
        <v>155</v>
      </c>
      <c r="D2" t="s">
        <v>156</v>
      </c>
    </row>
    <row r="3" spans="1:4">
      <c r="A3" t="s">
        <v>157</v>
      </c>
      <c r="B3" t="s">
        <v>158</v>
      </c>
      <c r="C3" t="s">
        <v>159</v>
      </c>
      <c r="D3" t="s">
        <v>160</v>
      </c>
    </row>
    <row r="4" spans="1:4">
      <c r="A4" t="s">
        <v>161</v>
      </c>
      <c r="B4" t="s">
        <v>162</v>
      </c>
      <c r="C4" t="s">
        <v>163</v>
      </c>
    </row>
    <row r="5" spans="1:4">
      <c r="A5" t="s">
        <v>164</v>
      </c>
    </row>
    <row r="6" spans="1:4">
      <c r="A6" t="s">
        <v>165</v>
      </c>
    </row>
    <row r="7" spans="1:4">
      <c r="A7" t="s">
        <v>166</v>
      </c>
    </row>
    <row r="8" spans="1:4">
      <c r="A8" t="s">
        <v>167</v>
      </c>
    </row>
    <row r="9" spans="1:4">
      <c r="A9" t="s">
        <v>168</v>
      </c>
    </row>
    <row r="10" spans="1:4">
      <c r="A10" t="s">
        <v>169</v>
      </c>
    </row>
    <row r="11" spans="1:4">
      <c r="A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BOQ_DATA_ENTRY</vt:lpstr>
      <vt:lpstr>Instructions</vt:lpstr>
      <vt:lpstr>App_Field_Map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2026-06-29T00:51:57Z</dcterms:modified>
</cp:coreProperties>
</file>