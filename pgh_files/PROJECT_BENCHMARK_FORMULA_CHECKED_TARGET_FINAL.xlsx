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OneSystemsErp\PGH-PMS_saved 06-11-2026_11pm\pgh_files\"/>
    </mc:Choice>
  </mc:AlternateContent>
  <xr:revisionPtr revIDLastSave="0" documentId="8_{C0992296-6FCC-4FC6-8416-F6F3EEFE18D3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PROJECT BENCHMARK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6" i="1" l="1"/>
  <c r="A546" i="1"/>
  <c r="F545" i="1"/>
  <c r="A545" i="1"/>
  <c r="F544" i="1"/>
  <c r="A544" i="1"/>
  <c r="F543" i="1"/>
  <c r="A543" i="1"/>
  <c r="F541" i="1"/>
  <c r="F540" i="1"/>
  <c r="F538" i="1"/>
  <c r="F537" i="1"/>
  <c r="F535" i="1"/>
  <c r="F533" i="1"/>
  <c r="F532" i="1"/>
  <c r="F530" i="1"/>
  <c r="F529" i="1"/>
  <c r="F528" i="1"/>
  <c r="F527" i="1"/>
  <c r="F523" i="1"/>
  <c r="F522" i="1"/>
  <c r="F520" i="1"/>
  <c r="F517" i="1"/>
  <c r="F513" i="1"/>
  <c r="F507" i="1"/>
  <c r="F501" i="1"/>
  <c r="F495" i="1"/>
  <c r="F489" i="1"/>
  <c r="F484" i="1"/>
  <c r="F481" i="1"/>
  <c r="F480" i="1"/>
  <c r="F478" i="1"/>
  <c r="F477" i="1"/>
  <c r="F476" i="1"/>
  <c r="F474" i="1"/>
  <c r="F473" i="1"/>
  <c r="F472" i="1"/>
  <c r="F462" i="1"/>
  <c r="F460" i="1"/>
  <c r="F458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0" i="1"/>
  <c r="F439" i="1"/>
  <c r="F437" i="1"/>
  <c r="F436" i="1"/>
  <c r="F435" i="1"/>
  <c r="F434" i="1"/>
  <c r="F432" i="1"/>
  <c r="F431" i="1"/>
  <c r="F430" i="1"/>
  <c r="F426" i="1"/>
  <c r="F425" i="1"/>
  <c r="F424" i="1"/>
  <c r="F423" i="1"/>
  <c r="F422" i="1"/>
  <c r="F421" i="1"/>
  <c r="F418" i="1"/>
  <c r="F415" i="1"/>
  <c r="F414" i="1"/>
  <c r="F411" i="1"/>
  <c r="F410" i="1"/>
  <c r="F407" i="1"/>
  <c r="F405" i="1"/>
  <c r="F403" i="1"/>
  <c r="F401" i="1"/>
  <c r="F399" i="1"/>
  <c r="F398" i="1"/>
  <c r="F397" i="1"/>
  <c r="F396" i="1"/>
  <c r="F395" i="1"/>
  <c r="F394" i="1"/>
  <c r="F393" i="1"/>
  <c r="F392" i="1"/>
  <c r="F391" i="1"/>
  <c r="F388" i="1"/>
  <c r="F387" i="1"/>
  <c r="F386" i="1"/>
  <c r="F385" i="1"/>
  <c r="F384" i="1"/>
  <c r="F383" i="1"/>
  <c r="F382" i="1"/>
  <c r="F381" i="1"/>
  <c r="F380" i="1"/>
  <c r="F377" i="1"/>
  <c r="F376" i="1"/>
  <c r="F375" i="1"/>
  <c r="F374" i="1"/>
  <c r="F373" i="1"/>
  <c r="F372" i="1"/>
  <c r="F371" i="1"/>
  <c r="F370" i="1"/>
  <c r="F367" i="1"/>
  <c r="F366" i="1"/>
  <c r="F365" i="1"/>
  <c r="F364" i="1"/>
  <c r="F361" i="1"/>
  <c r="F359" i="1"/>
  <c r="F357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39" i="1"/>
  <c r="F338" i="1"/>
  <c r="F336" i="1"/>
  <c r="F335" i="1"/>
  <c r="F334" i="1"/>
  <c r="F333" i="1"/>
  <c r="F331" i="1"/>
  <c r="F330" i="1"/>
  <c r="F329" i="1"/>
  <c r="F325" i="1"/>
  <c r="F324" i="1"/>
  <c r="F323" i="1"/>
  <c r="F322" i="1"/>
  <c r="F319" i="1"/>
  <c r="F316" i="1"/>
  <c r="F315" i="1"/>
  <c r="F312" i="1"/>
  <c r="F311" i="1"/>
  <c r="F308" i="1"/>
  <c r="F306" i="1"/>
  <c r="F304" i="1"/>
  <c r="F302" i="1"/>
  <c r="F300" i="1"/>
  <c r="F299" i="1"/>
  <c r="F298" i="1"/>
  <c r="F297" i="1"/>
  <c r="F296" i="1"/>
  <c r="F295" i="1"/>
  <c r="F294" i="1"/>
  <c r="F293" i="1"/>
  <c r="F292" i="1"/>
  <c r="F289" i="1"/>
  <c r="F288" i="1"/>
  <c r="F287" i="1"/>
  <c r="F286" i="1"/>
  <c r="F285" i="1"/>
  <c r="F284" i="1"/>
  <c r="F283" i="1"/>
  <c r="F282" i="1"/>
  <c r="F281" i="1"/>
  <c r="F278" i="1"/>
  <c r="F277" i="1"/>
  <c r="F276" i="1"/>
  <c r="F275" i="1"/>
  <c r="F274" i="1"/>
  <c r="F273" i="1"/>
  <c r="F272" i="1"/>
  <c r="F269" i="1"/>
  <c r="F268" i="1"/>
  <c r="F267" i="1"/>
  <c r="F266" i="1"/>
  <c r="F263" i="1"/>
  <c r="F261" i="1"/>
  <c r="F259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1" i="1"/>
  <c r="F240" i="1"/>
  <c r="F238" i="1"/>
  <c r="F237" i="1"/>
  <c r="F236" i="1"/>
  <c r="F235" i="1"/>
  <c r="F233" i="1"/>
  <c r="F232" i="1"/>
  <c r="F231" i="1"/>
  <c r="F227" i="1"/>
  <c r="F226" i="1"/>
  <c r="F225" i="1"/>
  <c r="F224" i="1"/>
  <c r="F223" i="1"/>
  <c r="F220" i="1"/>
  <c r="F217" i="1"/>
  <c r="F216" i="1"/>
  <c r="F213" i="1"/>
  <c r="F212" i="1"/>
  <c r="F209" i="1"/>
  <c r="F207" i="1"/>
  <c r="F205" i="1"/>
  <c r="F203" i="1"/>
  <c r="F201" i="1"/>
  <c r="F200" i="1"/>
  <c r="F199" i="1"/>
  <c r="F198" i="1"/>
  <c r="F197" i="1"/>
  <c r="F196" i="1"/>
  <c r="F195" i="1"/>
  <c r="F194" i="1"/>
  <c r="F193" i="1"/>
  <c r="F190" i="1"/>
  <c r="F189" i="1"/>
  <c r="F188" i="1"/>
  <c r="F187" i="1"/>
  <c r="F186" i="1"/>
  <c r="F185" i="1"/>
  <c r="F184" i="1"/>
  <c r="F183" i="1"/>
  <c r="F182" i="1"/>
  <c r="F179" i="1"/>
  <c r="F178" i="1"/>
  <c r="F177" i="1"/>
  <c r="F176" i="1"/>
  <c r="F175" i="1"/>
  <c r="F174" i="1"/>
  <c r="F173" i="1"/>
  <c r="F172" i="1"/>
  <c r="F169" i="1"/>
  <c r="F168" i="1"/>
  <c r="F167" i="1"/>
  <c r="F166" i="1"/>
  <c r="F163" i="1"/>
  <c r="A163" i="1"/>
  <c r="F161" i="1"/>
  <c r="A161" i="1"/>
  <c r="F159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1" i="1"/>
  <c r="F140" i="1"/>
  <c r="F138" i="1"/>
  <c r="F137" i="1"/>
  <c r="F136" i="1"/>
  <c r="F135" i="1"/>
  <c r="F133" i="1"/>
  <c r="F132" i="1"/>
  <c r="F131" i="1"/>
  <c r="F127" i="1"/>
  <c r="F126" i="1"/>
  <c r="F125" i="1"/>
  <c r="F124" i="1"/>
  <c r="F123" i="1"/>
  <c r="F120" i="1"/>
  <c r="F117" i="1"/>
  <c r="F116" i="1"/>
  <c r="F113" i="1"/>
  <c r="F112" i="1"/>
  <c r="F109" i="1"/>
  <c r="F107" i="1"/>
  <c r="F105" i="1"/>
  <c r="F103" i="1"/>
  <c r="F101" i="1"/>
  <c r="F100" i="1"/>
  <c r="F99" i="1"/>
  <c r="F98" i="1"/>
  <c r="F97" i="1"/>
  <c r="F96" i="1"/>
  <c r="F95" i="1"/>
  <c r="F94" i="1"/>
  <c r="F93" i="1"/>
  <c r="F90" i="1"/>
  <c r="F89" i="1"/>
  <c r="F88" i="1"/>
  <c r="F87" i="1"/>
  <c r="F86" i="1"/>
  <c r="F85" i="1"/>
  <c r="F84" i="1"/>
  <c r="F83" i="1"/>
  <c r="F82" i="1"/>
  <c r="F78" i="1"/>
  <c r="F77" i="1"/>
  <c r="F76" i="1"/>
  <c r="F75" i="1"/>
  <c r="F74" i="1"/>
  <c r="F73" i="1"/>
  <c r="F72" i="1"/>
  <c r="F71" i="1"/>
  <c r="F68" i="1"/>
  <c r="F67" i="1"/>
  <c r="F66" i="1"/>
  <c r="F65" i="1"/>
  <c r="F55" i="1"/>
  <c r="F54" i="1"/>
  <c r="F50" i="1"/>
  <c r="F46" i="1"/>
  <c r="F45" i="1"/>
  <c r="F37" i="1"/>
  <c r="F36" i="1"/>
  <c r="F35" i="1"/>
  <c r="F34" i="1"/>
  <c r="F30" i="1"/>
  <c r="F29" i="1"/>
  <c r="F28" i="1"/>
  <c r="F27" i="1"/>
  <c r="F24" i="1"/>
  <c r="F549" i="1" s="1"/>
</calcChain>
</file>

<file path=xl/sharedStrings.xml><?xml version="1.0" encoding="utf-8"?>
<sst xmlns="http://schemas.openxmlformats.org/spreadsheetml/2006/main" count="1096" uniqueCount="233">
  <si>
    <t xml:space="preserve">UP-Philippine General Hospital </t>
  </si>
  <si>
    <t>Supply, Delivery, Installation, Testing, and Commissioning of VRF Air-Conditioning for 3rd Floor OR</t>
  </si>
  <si>
    <t xml:space="preserve">Taft Avenue, Ermita, Manila 1000 
</t>
  </si>
  <si>
    <t>Contractor: JEJORS CONSTRUCTION CORPORATION</t>
  </si>
  <si>
    <t>PROCUREMENT BENCHMARKED QTY</t>
  </si>
  <si>
    <t>Item No.</t>
  </si>
  <si>
    <t>Description of Work</t>
  </si>
  <si>
    <t>Unit/s</t>
  </si>
  <si>
    <t>Qty</t>
  </si>
  <si>
    <t>Unit Cost</t>
  </si>
  <si>
    <t>Total Cost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</si>
  <si>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</si>
  <si>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</si>
  <si>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</si>
  <si>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</si>
  <si>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</si>
  <si>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</si>
  <si>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</si>
  <si>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</si>
  <si>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</si>
  <si>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</si>
  <si>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</si>
  <si>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</si>
  <si>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</si>
  <si>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</si>
  <si>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</si>
  <si>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</si>
  <si>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</si>
  <si>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</si>
  <si>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</si>
  <si>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</si>
  <si>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</si>
  <si>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</si>
  <si>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</si>
  <si>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</si>
  <si>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</si>
  <si>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</si>
  <si>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</si>
  <si>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</si>
  <si>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</si>
  <si>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</si>
  <si>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</si>
  <si>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</si>
  <si>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</si>
  <si>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</si>
  <si>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</si>
  <si>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</si>
  <si>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</si>
  <si>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</si>
  <si>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</si>
  <si>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</si>
  <si>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</si>
  <si>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</si>
  <si>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</si>
  <si>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</si>
  <si>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</si>
  <si>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</si>
  <si>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</si>
  <si>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</si>
  <si>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</si>
  <si>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</si>
  <si>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</si>
  <si>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ACU 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</si>
  <si>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</si>
  <si>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</si>
  <si>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</si>
  <si>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</si>
  <si>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</si>
  <si>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</si>
  <si>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</si>
  <si>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</si>
  <si>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</si>
  <si>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</si>
  <si>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</si>
  <si>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</si>
  <si>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</si>
  <si>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</si>
  <si>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</si>
  <si>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</si>
  <si>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</si>
  <si>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</si>
  <si>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</si>
  <si>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</si>
  <si>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</si>
  <si>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</si>
  <si>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</si>
  <si>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</si>
  <si>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</si>
  <si>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</si>
  <si>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</si>
  <si>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</si>
  <si>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</si>
  <si>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</si>
  <si>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</si>
  <si>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</si>
  <si>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</si>
  <si>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</si>
  <si>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</si>
  <si>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</si>
  <si>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</si>
  <si>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</si>
  <si>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</si>
  <si>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</si>
  <si>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</si>
  <si>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</si>
  <si>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</si>
  <si>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</si>
  <si>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</si>
  <si>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</si>
  <si>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</si>
  <si>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</si>
  <si>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</si>
  <si>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</si>
  <si>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</si>
  <si>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</si>
  <si>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</si>
  <si>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</si>
  <si>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</si>
  <si>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</si>
  <si>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</si>
  <si>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</si>
  <si>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</si>
  <si>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</si>
  <si>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</si>
  <si>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</si>
  <si>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</si>
  <si>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</si>
  <si>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</si>
  <si>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</si>
  <si>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</si>
  <si>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</si>
  <si>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</si>
  <si>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</si>
  <si>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</si>
  <si>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</si>
  <si>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</si>
  <si>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</si>
  <si>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CHIPPING &amp; RESTORATION (ROUGH-ONLY)</t>
  </si>
  <si>
    <t>MISCELLANEOUS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</si>
  <si>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</si>
  <si>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</si>
  <si>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</si>
  <si>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</si>
  <si>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</si>
  <si>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</si>
  <si>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</si>
  <si>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</si>
  <si>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</si>
  <si>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</si>
  <si>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</si>
  <si>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</si>
  <si>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</si>
  <si>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</si>
  <si>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</si>
  <si>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</si>
  <si>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</si>
  <si>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</si>
  <si>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</si>
  <si>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</si>
  <si>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</si>
  <si>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</si>
  <si>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</si>
  <si>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</si>
  <si>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</si>
  <si>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</si>
  <si>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</si>
  <si>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</si>
  <si>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</si>
  <si>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</si>
  <si>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</si>
  <si>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</si>
  <si>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</si>
  <si>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</si>
  <si>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</si>
  <si>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</si>
  <si>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</si>
  <si>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</si>
  <si>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</si>
  <si>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</si>
  <si>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</si>
  <si>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</si>
  <si>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</si>
  <si>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</si>
  <si>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</si>
  <si>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</si>
  <si>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</si>
  <si>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</si>
  <si>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</si>
  <si>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</si>
  <si>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</si>
  <si>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</si>
  <si>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</si>
  <si>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</si>
  <si>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</si>
  <si>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</si>
  <si>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</si>
  <si>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</si>
  <si>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</si>
  <si>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</si>
  <si>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</si>
  <si>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</si>
  <si>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</si>
  <si>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</si>
  <si>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</si>
  <si>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</si>
  <si>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</si>
  <si>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</si>
  <si>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</si>
  <si>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</t>
  </si>
  <si>
    <t>ECB 1250AT Nema 12</t>
  </si>
  <si>
    <t>pc</t>
  </si>
  <si>
    <t>Pullbox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</si>
  <si>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</si>
  <si>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</si>
  <si>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</si>
  <si>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</si>
  <si>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</si>
  <si>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</si>
  <si>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</si>
  <si>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</si>
  <si>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</si>
  <si>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</si>
  <si>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</si>
  <si>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</si>
  <si>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</si>
  <si>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</si>
  <si>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</si>
  <si>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</si>
  <si>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Chipping &amp; Restoration Works (Rough only)</t>
  </si>
  <si>
    <t>Hangers &amp; Supports</t>
  </si>
  <si>
    <t>Miscelleneuos</t>
  </si>
  <si>
    <t>Testing &amp; Commissioning</t>
  </si>
  <si>
    <t>TOTAL PROJECT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</si>
</sst>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1" x14ac:knownFonts="1">
    <font>
      <sz val="11"/>
      <color theme="1"/>
      <name val="Calibri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1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1"/>
      </patternFill>
    </fill>
    <fill>
      <patternFill patternType="solid">
        <fgColor theme="0"/>
      </patternFill>
    </fill>
    <fill>
      <patternFill patternType="solid">
        <fgColor rgb="FFA5A5A5"/>
      </patternFill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0">
    <xf numFmtId="0" fontId="0" fillId="0" borderId="0" xfId="0"/>
    <xf numFmtId="0" fontId="0" fillId="4" borderId="1" xfId="0" applyFill="1" applyBorder="1" applyAlignment="1">
      <alignment vertical="top" wrapText="1"/>
    </xf>
    <xf numFmtId="4" fontId="0" fillId="3" borderId="1" xfId="0" applyNumberForma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43" fontId="0" fillId="0" borderId="0" xfId="1" applyFont="1"/>
    <xf numFmtId="43" fontId="0" fillId="0" borderId="0" xfId="1" applyFont="1" applyBorder="1"/>
    <xf numFmtId="0" fontId="3" fillId="2" borderId="2" xfId="0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vertical="center"/>
    </xf>
    <xf numFmtId="4" fontId="6" fillId="6" borderId="1" xfId="0" applyNumberFormat="1" applyFont="1" applyFill="1" applyBorder="1" applyAlignment="1">
      <alignment vertical="center"/>
    </xf>
    <xf numFmtId="164" fontId="6" fillId="3" borderId="1" xfId="0" applyNumberFormat="1" applyFont="1" applyFill="1" applyBorder="1" applyAlignment="1">
      <alignment horizontal="right" vertical="center"/>
    </xf>
    <xf numFmtId="4" fontId="6" fillId="3" borderId="1" xfId="0" applyNumberFormat="1" applyFont="1" applyFill="1" applyBorder="1" applyAlignment="1">
      <alignment vertical="center"/>
    </xf>
    <xf numFmtId="4" fontId="6" fillId="3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4" fontId="5" fillId="8" borderId="1" xfId="0" applyNumberFormat="1" applyFont="1" applyFill="1" applyBorder="1" applyAlignment="1">
      <alignment horizontal="center" vertical="center"/>
    </xf>
    <xf numFmtId="4" fontId="5" fillId="8" borderId="1" xfId="0" applyNumberFormat="1" applyFont="1" applyFill="1" applyBorder="1" applyAlignment="1">
      <alignment vertical="center"/>
    </xf>
    <xf numFmtId="4" fontId="6" fillId="8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4" fontId="6" fillId="3" borderId="1" xfId="0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" fontId="0" fillId="3" borderId="1" xfId="0" applyNumberFormat="1" applyFill="1" applyBorder="1" applyAlignment="1">
      <alignment vertical="top" wrapText="1"/>
    </xf>
    <xf numFmtId="1" fontId="6" fillId="3" borderId="1" xfId="0" applyNumberFormat="1" applyFont="1" applyFill="1" applyBorder="1" applyAlignment="1">
      <alignment vertical="center"/>
    </xf>
    <xf numFmtId="1" fontId="6" fillId="3" borderId="1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right" vertical="center"/>
    </xf>
    <xf numFmtId="1" fontId="5" fillId="3" borderId="1" xfId="0" applyNumberFormat="1" applyFont="1" applyFill="1" applyBorder="1" applyAlignment="1">
      <alignment horizontal="right" vertical="center"/>
    </xf>
    <xf numFmtId="1" fontId="2" fillId="3" borderId="1" xfId="0" applyNumberFormat="1" applyFont="1" applyFill="1" applyBorder="1" applyAlignment="1">
      <alignment vertical="top" wrapText="1"/>
    </xf>
    <xf numFmtId="4" fontId="5" fillId="3" borderId="1" xfId="0" applyNumberFormat="1" applyFont="1" applyFill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vertical="center"/>
    </xf>
    <xf numFmtId="4" fontId="5" fillId="3" borderId="1" xfId="0" applyNumberFormat="1" applyFont="1" applyFill="1" applyBorder="1"/>
    <xf numFmtId="4" fontId="2" fillId="3" borderId="1" xfId="0" applyNumberFormat="1" applyFont="1" applyFill="1" applyBorder="1" applyAlignment="1">
      <alignment vertical="top" wrapText="1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4" fontId="6" fillId="10" borderId="3" xfId="0" applyNumberFormat="1" applyFont="1" applyFill="1" applyBorder="1" applyAlignment="1">
      <alignment vertical="center"/>
    </xf>
    <xf numFmtId="164" fontId="6" fillId="10" borderId="4" xfId="0" applyNumberFormat="1" applyFont="1" applyFill="1" applyBorder="1" applyAlignment="1">
      <alignment horizontal="right" vertical="center"/>
    </xf>
    <xf numFmtId="0" fontId="10" fillId="10" borderId="3" xfId="0" applyFont="1" applyFill="1" applyBorder="1"/>
    <xf numFmtId="164" fontId="6" fillId="10" borderId="5" xfId="0" applyNumberFormat="1" applyFont="1" applyFill="1" applyBorder="1" applyAlignment="1">
      <alignment horizontal="center" vertical="center"/>
    </xf>
    <xf numFmtId="164" fontId="6" fillId="10" borderId="5" xfId="0" applyNumberFormat="1" applyFont="1" applyFill="1" applyBorder="1" applyAlignment="1">
      <alignment horizontal="left" vertical="center"/>
    </xf>
    <xf numFmtId="0" fontId="0" fillId="10" borderId="0" xfId="0" applyFill="1" applyAlignment="1">
      <alignment horizontal="left" vertical="center"/>
    </xf>
    <xf numFmtId="4" fontId="5" fillId="11" borderId="5" xfId="0" applyNumberFormat="1" applyFont="1" applyFill="1" applyBorder="1" applyAlignment="1">
      <alignment horizontal="left" vertical="center"/>
    </xf>
    <xf numFmtId="4" fontId="5" fillId="12" borderId="4" xfId="0" applyNumberFormat="1" applyFont="1" applyFill="1" applyBorder="1" applyAlignment="1">
      <alignment horizontal="left" vertical="center"/>
    </xf>
    <xf numFmtId="164" fontId="5" fillId="10" borderId="4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7" fillId="9" borderId="0" xfId="0" applyFont="1" applyFill="1" applyAlignment="1">
      <alignment horizontal="center" wrapText="1"/>
    </xf>
  </cellXfs>
  <cellStyles count="2">
    <cellStyle name="Comma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9"/>
  <sheetViews>
    <sheetView tabSelected="1" workbookViewId="0">
      <selection activeCell="F68" sqref="F68"/>
    </sheetView>
  </sheetViews>
  <sheetFormatPr defaultRowHeight="14.4" x14ac:dyDescent="0.55000000000000004"/>
  <cols>
    <col min="1" max="1" width="21.3125" customWidth="1"/>
    <col min="2" max="2" width="57.3671875" customWidth="1"/>
    <col min="3" max="3" width="6.734375" customWidth="1"/>
    <col min="4" max="4" width="4.68359375" customWidth="1"/>
    <col min="5" max="5" width="12" style="4" customWidth="1"/>
    <col min="6" max="6" width="16.62890625" style="4" customWidth="1"/>
  </cols>
  <sheetData>
    <row r="1" spans="1:6" ht="15.6" x14ac:dyDescent="0.6">
      <c r="A1" s="36" t="s">
        <v>0</v>
      </c>
      <c r="B1" s="37"/>
      <c r="C1" s="37"/>
      <c r="D1" s="37"/>
      <c r="E1" s="37"/>
      <c r="F1" s="37"/>
    </row>
    <row r="2" spans="1:6" ht="15.6" x14ac:dyDescent="0.6">
      <c r="A2" s="36" t="s">
        <v>1</v>
      </c>
      <c r="B2" s="37"/>
      <c r="C2" s="37"/>
      <c r="D2" s="37"/>
      <c r="E2" s="37"/>
      <c r="F2" s="37"/>
    </row>
    <row r="3" spans="1:6" ht="13.8" customHeight="1" x14ac:dyDescent="0.6">
      <c r="A3" s="36" t="s">
        <v>2</v>
      </c>
      <c r="B3" s="37"/>
      <c r="C3" s="37"/>
      <c r="D3" s="37"/>
      <c r="E3" s="37"/>
      <c r="F3" s="37"/>
    </row>
    <row r="4" spans="1:6" ht="18.3" x14ac:dyDescent="0.7">
      <c r="A4" s="22"/>
      <c r="B4" s="23"/>
      <c r="C4" s="23"/>
      <c r="D4" s="23"/>
      <c r="E4" s="23"/>
      <c r="F4" s="23"/>
    </row>
    <row r="5" spans="1:6" x14ac:dyDescent="0.55000000000000004">
      <c r="E5" s="5"/>
      <c r="F5" s="5"/>
    </row>
    <row r="6" spans="1:6" ht="15.6" x14ac:dyDescent="0.6">
      <c r="A6" s="47" t="s">
        <v>3</v>
      </c>
      <c r="B6" s="48"/>
      <c r="C6" s="48"/>
      <c r="D6" s="48"/>
      <c r="E6" s="48"/>
      <c r="F6" s="48"/>
    </row>
    <row r="7" spans="1:6" x14ac:dyDescent="0.55000000000000004">
      <c r="C7" s="49" t="s">
        <v>4</v>
      </c>
      <c r="D7" s="49"/>
      <c r="E7" s="49"/>
      <c r="F7" s="49"/>
    </row>
    <row r="8" spans="1:6" ht="22.8" customHeight="1" x14ac:dyDescent="0.55000000000000004">
      <c r="A8" s="6" t="s">
        <v>5</v>
      </c>
      <c r="B8" s="6" t="s">
        <v>6</v>
      </c>
      <c r="C8" s="6" t="s">
        <v>7</v>
      </c>
      <c r="D8" s="6" t="s">
        <v>8</v>
      </c>
      <c r="E8" s="7" t="s">
        <v>9</v>
      </c>
      <c r="F8" s="7" t="s">
        <v>10</v>
      </c>
    </row>
    <row r="9" spans="1:6" x14ac:dyDescent="0.55000000000000004">
      <c r="A9" s="1"/>
      <c r="B9" s="3"/>
      <c r="C9" s="1"/>
      <c r="D9" s="24"/>
      <c r="E9" s="2"/>
      <c r="F9" s="2"/>
    </row>
    <row r="10" spans="1:6" x14ac:dyDescent="0.55000000000000004">
      <c r="A10" s="8" t="s">
        <v>11</v>
      </c>
      <c r="B10" s="9" t="s">
        <v>12</v>
      </c>
      <c r="C10" s="10"/>
      <c r="D10" s="25"/>
      <c r="E10" s="30"/>
      <c r="F10" s="2"/>
    </row>
    <row r="11" spans="1:6" x14ac:dyDescent="0.55000000000000004">
      <c r="A11" s="11"/>
      <c r="B11" s="12" t="s">
        <v>13</v>
      </c>
      <c r="C11" s="13"/>
      <c r="D11" s="26"/>
      <c r="E11" s="13"/>
      <c r="F11" s="2"/>
    </row>
    <row r="12" spans="1:6" x14ac:dyDescent="0.55000000000000004">
      <c r="A12" s="11"/>
      <c r="B12" s="12" t="s">
        <v>14</v>
      </c>
      <c r="C12" s="13"/>
      <c r="D12" s="26"/>
      <c r="E12" s="31"/>
      <c r="F12" s="2"/>
    </row>
    <row r="13" spans="1:6" x14ac:dyDescent="0.55000000000000004">
      <c r="A13" s="11"/>
      <c r="B13" s="12" t="s">
        <v>15</v>
      </c>
      <c r="C13" s="13"/>
      <c r="D13" s="26"/>
      <c r="E13" s="31"/>
      <c r="F13" s="2"/>
    </row>
    <row r="14" spans="1:6" x14ac:dyDescent="0.55000000000000004">
      <c r="A14" s="11"/>
      <c r="B14" s="12" t="s">
        <v>16</v>
      </c>
      <c r="C14" s="13"/>
      <c r="D14" s="26"/>
      <c r="E14" s="31"/>
      <c r="F14" s="2"/>
    </row>
    <row r="15" spans="1:6" x14ac:dyDescent="0.55000000000000004">
      <c r="A15" s="11"/>
      <c r="B15" s="12" t="s">
        <v>17</v>
      </c>
      <c r="C15" s="13"/>
      <c r="D15" s="26"/>
      <c r="E15" s="31"/>
      <c r="F15" s="2"/>
    </row>
    <row r="16" spans="1:6" x14ac:dyDescent="0.55000000000000004">
      <c r="A16" s="11"/>
      <c r="B16" s="12" t="s">
        <v>18</v>
      </c>
      <c r="C16" s="13"/>
      <c r="D16" s="26"/>
      <c r="E16" s="31"/>
      <c r="F16" s="2"/>
    </row>
    <row r="17" spans="1:6" x14ac:dyDescent="0.55000000000000004">
      <c r="A17" s="11"/>
      <c r="B17" s="12"/>
      <c r="C17" s="13"/>
      <c r="D17" s="26"/>
      <c r="E17" s="31"/>
      <c r="F17" s="2"/>
    </row>
    <row r="18" spans="1:6" x14ac:dyDescent="0.55000000000000004">
      <c r="A18" s="11"/>
      <c r="B18" s="12" t="s">
        <v>19</v>
      </c>
      <c r="C18" s="13"/>
      <c r="D18" s="26"/>
      <c r="E18" s="31"/>
      <c r="F18" s="2"/>
    </row>
    <row r="19" spans="1:6" x14ac:dyDescent="0.55000000000000004">
      <c r="A19" s="11"/>
      <c r="B19" s="12" t="s">
        <v>20</v>
      </c>
      <c r="C19" s="13"/>
      <c r="D19" s="26"/>
      <c r="E19" s="31"/>
      <c r="F19" s="2"/>
    </row>
    <row r="20" spans="1:6" x14ac:dyDescent="0.55000000000000004">
      <c r="A20" s="11"/>
      <c r="B20" s="12" t="s">
        <v>21</v>
      </c>
      <c r="C20" s="13"/>
      <c r="D20" s="26"/>
      <c r="E20" s="31"/>
      <c r="F20" s="2"/>
    </row>
    <row r="21" spans="1:6" x14ac:dyDescent="0.55000000000000004">
      <c r="A21" s="11"/>
      <c r="B21" s="12" t="s">
        <v>22</v>
      </c>
      <c r="C21" s="13"/>
      <c r="D21" s="26"/>
      <c r="E21" s="31"/>
      <c r="F21" s="2"/>
    </row>
    <row r="22" spans="1:6" x14ac:dyDescent="0.55000000000000004">
      <c r="A22" s="11"/>
      <c r="B22" s="12" t="s">
        <v>23</v>
      </c>
      <c r="C22" s="13"/>
      <c r="D22" s="26"/>
      <c r="E22" s="31"/>
      <c r="F22" s="2"/>
    </row>
    <row r="23" spans="1:6" x14ac:dyDescent="0.55000000000000004">
      <c r="A23" s="11"/>
      <c r="B23" s="12"/>
      <c r="C23" s="13"/>
      <c r="D23" s="26"/>
      <c r="E23" s="31"/>
      <c r="F23" s="2"/>
    </row>
    <row r="24" spans="1:6" x14ac:dyDescent="0.55000000000000004">
      <c r="A24" s="38"/>
      <c r="B24" s="12" t="s">
        <v>24</v>
      </c>
      <c r="C24" s="13" t="s">
        <v>25</v>
      </c>
      <c r="D24" s="26">
        <v>1</v>
      </c>
      <c r="E24" s="13">
        <v>169588.32841600588</v>
      </c>
      <c r="F24" s="2">
        <f>D24*E24</f>
        <v>169588.32841600588</v>
      </c>
    </row>
    <row r="25" spans="1:6" x14ac:dyDescent="0.55000000000000004">
      <c r="A25" s="39"/>
      <c r="B25" s="12"/>
      <c r="C25" s="13"/>
      <c r="D25" s="26"/>
      <c r="E25" s="31"/>
      <c r="F25" s="2"/>
    </row>
    <row r="26" spans="1:6" x14ac:dyDescent="0.55000000000000004">
      <c r="A26" s="40"/>
      <c r="B26" s="12" t="s">
        <v>26</v>
      </c>
      <c r="C26" s="13"/>
      <c r="D26" s="26"/>
      <c r="E26" s="31"/>
      <c r="F26" s="2"/>
    </row>
    <row r="27" spans="1:6" x14ac:dyDescent="0.55000000000000004">
      <c r="A27" s="38"/>
      <c r="B27" s="12" t="s">
        <v>27</v>
      </c>
      <c r="C27" s="13" t="s">
        <v>25</v>
      </c>
      <c r="D27" s="26">
        <v>1</v>
      </c>
      <c r="E27" s="31">
        <v>678976</v>
      </c>
      <c r="F27" s="2">
        <f>D27*E27</f>
        <v>678976</v>
      </c>
    </row>
    <row r="28" spans="1:6" x14ac:dyDescent="0.55000000000000004">
      <c r="A28" s="38"/>
      <c r="B28" s="12" t="s">
        <v>28</v>
      </c>
      <c r="C28" s="13" t="s">
        <v>25</v>
      </c>
      <c r="D28" s="26">
        <v>1</v>
      </c>
      <c r="E28" s="31">
        <v>279579.99999999994</v>
      </c>
      <c r="F28" s="2">
        <f>D28*E28</f>
        <v>279579.99999999994</v>
      </c>
    </row>
    <row r="29" spans="1:6" x14ac:dyDescent="0.55000000000000004">
      <c r="A29" s="38"/>
      <c r="B29" s="12" t="s">
        <v>29</v>
      </c>
      <c r="C29" s="13" t="s">
        <v>25</v>
      </c>
      <c r="D29" s="26">
        <v>1</v>
      </c>
      <c r="E29" s="31">
        <v>279579.99999999994</v>
      </c>
      <c r="F29" s="2">
        <f>D29*E29</f>
        <v>279579.99999999994</v>
      </c>
    </row>
    <row r="30" spans="1:6" x14ac:dyDescent="0.55000000000000004">
      <c r="A30" s="38"/>
      <c r="B30" s="12" t="s">
        <v>30</v>
      </c>
      <c r="C30" s="13" t="s">
        <v>25</v>
      </c>
      <c r="D30" s="26">
        <v>1</v>
      </c>
      <c r="E30" s="31">
        <v>319519</v>
      </c>
      <c r="F30" s="2">
        <f>D30*E30</f>
        <v>319519</v>
      </c>
    </row>
    <row r="31" spans="1:6" x14ac:dyDescent="0.55000000000000004">
      <c r="A31" s="39"/>
      <c r="B31" s="12"/>
      <c r="C31" s="13"/>
      <c r="D31" s="26"/>
      <c r="E31" s="31"/>
      <c r="F31" s="2"/>
    </row>
    <row r="32" spans="1:6" x14ac:dyDescent="0.55000000000000004">
      <c r="A32" s="39"/>
      <c r="B32" s="12" t="s">
        <v>31</v>
      </c>
      <c r="C32" s="13"/>
      <c r="D32" s="26"/>
      <c r="E32" s="31"/>
      <c r="F32" s="2"/>
    </row>
    <row r="33" spans="1:6" x14ac:dyDescent="0.55000000000000004">
      <c r="A33" s="38"/>
      <c r="B33" s="12" t="s">
        <v>32</v>
      </c>
      <c r="C33" s="13"/>
      <c r="D33" s="26"/>
      <c r="E33" s="31"/>
      <c r="F33" s="2"/>
    </row>
    <row r="34" spans="1:6" x14ac:dyDescent="0.55000000000000004">
      <c r="A34" s="38"/>
      <c r="B34" s="12" t="s">
        <v>33</v>
      </c>
      <c r="C34" s="13" t="s">
        <v>25</v>
      </c>
      <c r="D34" s="26">
        <v>1</v>
      </c>
      <c r="E34" s="31">
        <v>51615</v>
      </c>
      <c r="F34" s="2">
        <f>D34*E34</f>
        <v>51615</v>
      </c>
    </row>
    <row r="35" spans="1:6" x14ac:dyDescent="0.55000000000000004">
      <c r="A35" s="38"/>
      <c r="B35" s="12" t="s">
        <v>34</v>
      </c>
      <c r="C35" s="13" t="s">
        <v>25</v>
      </c>
      <c r="D35" s="26">
        <v>1</v>
      </c>
      <c r="E35" s="31">
        <v>14747</v>
      </c>
      <c r="F35" s="2">
        <f>D35*E35</f>
        <v>14747</v>
      </c>
    </row>
    <row r="36" spans="1:6" x14ac:dyDescent="0.55000000000000004">
      <c r="A36" s="38"/>
      <c r="B36" s="12" t="s">
        <v>35</v>
      </c>
      <c r="C36" s="13" t="s">
        <v>25</v>
      </c>
      <c r="D36" s="26">
        <v>1</v>
      </c>
      <c r="E36" s="31">
        <v>7373.9999999999991</v>
      </c>
      <c r="F36" s="2">
        <f>D36*E36</f>
        <v>7373.9999999999991</v>
      </c>
    </row>
    <row r="37" spans="1:6" x14ac:dyDescent="0.55000000000000004">
      <c r="A37" s="38"/>
      <c r="B37" s="12" t="s">
        <v>36</v>
      </c>
      <c r="C37" s="13" t="s">
        <v>25</v>
      </c>
      <c r="D37" s="26">
        <v>1</v>
      </c>
      <c r="E37" s="31">
        <v>184338</v>
      </c>
      <c r="F37" s="2">
        <f>D37*E37</f>
        <v>184338</v>
      </c>
    </row>
    <row r="38" spans="1:6" x14ac:dyDescent="0.55000000000000004">
      <c r="A38" s="39"/>
      <c r="B38" s="12"/>
      <c r="C38" s="13"/>
      <c r="D38" s="26"/>
      <c r="E38" s="31"/>
      <c r="F38" s="2"/>
    </row>
    <row r="39" spans="1:6" x14ac:dyDescent="0.55000000000000004">
      <c r="A39" s="39"/>
      <c r="B39" s="12" t="s">
        <v>37</v>
      </c>
      <c r="C39" s="13"/>
      <c r="D39" s="26"/>
      <c r="E39" s="31"/>
      <c r="F39" s="2"/>
    </row>
    <row r="40" spans="1:6" x14ac:dyDescent="0.55000000000000004">
      <c r="A40" s="38"/>
      <c r="B40" s="12" t="s">
        <v>38</v>
      </c>
      <c r="C40" s="13"/>
      <c r="D40" s="26"/>
      <c r="E40" s="31"/>
      <c r="F40" s="2"/>
    </row>
    <row r="41" spans="1:6" x14ac:dyDescent="0.55000000000000004">
      <c r="A41" s="38"/>
      <c r="B41" s="12" t="s">
        <v>39</v>
      </c>
      <c r="C41" s="13"/>
      <c r="D41" s="26"/>
      <c r="E41" s="31"/>
      <c r="F41" s="2"/>
    </row>
    <row r="42" spans="1:6" x14ac:dyDescent="0.55000000000000004">
      <c r="A42" s="39"/>
      <c r="B42" s="12"/>
      <c r="C42" s="13"/>
      <c r="D42" s="26"/>
      <c r="E42" s="31"/>
      <c r="F42" s="2"/>
    </row>
    <row r="43" spans="1:6" x14ac:dyDescent="0.55000000000000004">
      <c r="A43" s="39"/>
      <c r="B43" s="12"/>
      <c r="C43" s="13"/>
      <c r="D43" s="26"/>
      <c r="E43" s="31"/>
      <c r="F43" s="2"/>
    </row>
    <row r="44" spans="1:6" x14ac:dyDescent="0.55000000000000004">
      <c r="A44" s="39"/>
      <c r="B44" s="12" t="s">
        <v>40</v>
      </c>
      <c r="C44" s="13"/>
      <c r="D44" s="26"/>
      <c r="E44" s="31"/>
      <c r="F44" s="2"/>
    </row>
    <row r="45" spans="1:6" x14ac:dyDescent="0.55000000000000004">
      <c r="A45" s="38"/>
      <c r="B45" s="12" t="s">
        <v>41</v>
      </c>
      <c r="C45" s="13" t="s">
        <v>25</v>
      </c>
      <c r="D45" s="26">
        <v>1</v>
      </c>
      <c r="E45" s="13">
        <v>545104.51991910848</v>
      </c>
      <c r="F45" s="2">
        <f>D45*E45</f>
        <v>545104.51991910848</v>
      </c>
    </row>
    <row r="46" spans="1:6" x14ac:dyDescent="0.55000000000000004">
      <c r="A46" s="38"/>
      <c r="B46" s="12" t="s">
        <v>42</v>
      </c>
      <c r="C46" s="13" t="s">
        <v>25</v>
      </c>
      <c r="D46" s="26">
        <v>1</v>
      </c>
      <c r="E46" s="13">
        <v>121134.52029714707</v>
      </c>
      <c r="F46" s="2">
        <f>D46*E46</f>
        <v>121134.52029714707</v>
      </c>
    </row>
    <row r="47" spans="1:6" x14ac:dyDescent="0.55000000000000004">
      <c r="A47" s="38"/>
      <c r="B47" s="12" t="s">
        <v>43</v>
      </c>
      <c r="C47" s="13"/>
      <c r="D47" s="26">
        <v>1</v>
      </c>
      <c r="E47" s="31"/>
      <c r="F47" s="2"/>
    </row>
    <row r="48" spans="1:6" x14ac:dyDescent="0.55000000000000004">
      <c r="A48" s="39"/>
      <c r="B48" s="12"/>
      <c r="C48" s="13"/>
      <c r="D48" s="26"/>
      <c r="E48" s="31"/>
      <c r="F48" s="2"/>
    </row>
    <row r="49" spans="1:6" x14ac:dyDescent="0.55000000000000004">
      <c r="A49" s="39"/>
      <c r="B49" s="12" t="s">
        <v>44</v>
      </c>
      <c r="C49" s="13"/>
      <c r="D49" s="26"/>
      <c r="E49" s="31"/>
      <c r="F49" s="2"/>
    </row>
    <row r="50" spans="1:6" x14ac:dyDescent="0.55000000000000004">
      <c r="A50" s="38"/>
      <c r="B50" s="12" t="s">
        <v>45</v>
      </c>
      <c r="C50" s="13" t="s">
        <v>25</v>
      </c>
      <c r="D50" s="26">
        <v>1</v>
      </c>
      <c r="E50" s="13">
        <v>193815.2324754353</v>
      </c>
      <c r="F50" s="2">
        <f>D50*E50</f>
        <v>193815.2324754353</v>
      </c>
    </row>
    <row r="51" spans="1:6" x14ac:dyDescent="0.55000000000000004">
      <c r="A51" s="38"/>
      <c r="B51" s="12" t="s">
        <v>46</v>
      </c>
      <c r="C51" s="13"/>
      <c r="D51" s="26"/>
      <c r="E51" s="31"/>
      <c r="F51" s="2"/>
    </row>
    <row r="52" spans="1:6" x14ac:dyDescent="0.55000000000000004">
      <c r="A52" s="39"/>
      <c r="B52" s="12"/>
      <c r="C52" s="13"/>
      <c r="D52" s="26"/>
      <c r="E52" s="31"/>
      <c r="F52" s="2"/>
    </row>
    <row r="53" spans="1:6" x14ac:dyDescent="0.55000000000000004">
      <c r="A53" s="39"/>
      <c r="B53" s="12" t="s">
        <v>47</v>
      </c>
      <c r="C53" s="13"/>
      <c r="D53" s="26"/>
      <c r="E53" s="31"/>
      <c r="F53" s="2"/>
    </row>
    <row r="54" spans="1:6" x14ac:dyDescent="0.55000000000000004">
      <c r="A54" s="38"/>
      <c r="B54" s="12" t="s">
        <v>48</v>
      </c>
      <c r="C54" s="13" t="s">
        <v>25</v>
      </c>
      <c r="D54" s="26">
        <v>1</v>
      </c>
      <c r="E54" s="13">
        <v>242269.04059429414</v>
      </c>
      <c r="F54" s="2">
        <f>D54*E54</f>
        <v>242269.04059429414</v>
      </c>
    </row>
    <row r="55" spans="1:6" x14ac:dyDescent="0.55000000000000004">
      <c r="A55" s="38"/>
      <c r="B55" s="12" t="s">
        <v>49</v>
      </c>
      <c r="C55" s="13" t="s">
        <v>25</v>
      </c>
      <c r="D55" s="26">
        <v>1</v>
      </c>
      <c r="E55" s="13">
        <v>181702.60186377371</v>
      </c>
      <c r="F55" s="2">
        <f>D55*E55</f>
        <v>181702.60186377371</v>
      </c>
    </row>
    <row r="56" spans="1:6" x14ac:dyDescent="0.55000000000000004">
      <c r="A56" s="38"/>
      <c r="B56" s="12" t="s">
        <v>50</v>
      </c>
      <c r="C56" s="13"/>
      <c r="D56" s="26"/>
      <c r="E56" s="31"/>
      <c r="F56" s="2"/>
    </row>
    <row r="57" spans="1:6" x14ac:dyDescent="0.55000000000000004">
      <c r="A57" s="39"/>
      <c r="B57" s="12"/>
      <c r="C57" s="13"/>
      <c r="D57" s="26"/>
      <c r="E57" s="13"/>
      <c r="F57" s="2"/>
    </row>
    <row r="58" spans="1:6" x14ac:dyDescent="0.55000000000000004">
      <c r="A58" s="39"/>
      <c r="B58" s="12"/>
      <c r="C58" s="13"/>
      <c r="D58" s="26"/>
      <c r="E58" s="13"/>
      <c r="F58" s="2"/>
    </row>
    <row r="59" spans="1:6" x14ac:dyDescent="0.55000000000000004">
      <c r="A59" s="39"/>
      <c r="B59" s="14"/>
      <c r="C59" s="15"/>
      <c r="D59" s="25"/>
      <c r="E59" s="32"/>
      <c r="F59" s="2"/>
    </row>
    <row r="60" spans="1:6" x14ac:dyDescent="0.55000000000000004">
      <c r="A60" s="46" t="s">
        <v>51</v>
      </c>
      <c r="B60" s="17" t="s">
        <v>52</v>
      </c>
      <c r="C60" s="18"/>
      <c r="D60" s="27"/>
      <c r="E60" s="12"/>
      <c r="F60" s="2"/>
    </row>
    <row r="61" spans="1:6" x14ac:dyDescent="0.55000000000000004">
      <c r="A61" s="41"/>
      <c r="B61" s="19"/>
      <c r="C61" s="13"/>
      <c r="D61" s="26"/>
      <c r="E61" s="13"/>
      <c r="F61" s="2"/>
    </row>
    <row r="62" spans="1:6" x14ac:dyDescent="0.55000000000000004">
      <c r="A62" s="41"/>
      <c r="B62" s="19" t="s">
        <v>53</v>
      </c>
      <c r="C62" s="13"/>
      <c r="D62" s="26"/>
      <c r="E62" s="13"/>
      <c r="F62" s="2"/>
    </row>
    <row r="63" spans="1:6" x14ac:dyDescent="0.55000000000000004">
      <c r="A63" s="41"/>
      <c r="B63" s="19"/>
      <c r="C63" s="13"/>
      <c r="D63" s="26"/>
      <c r="E63" s="13"/>
      <c r="F63" s="2"/>
    </row>
    <row r="64" spans="1:6" x14ac:dyDescent="0.55000000000000004">
      <c r="A64" s="41" t="s">
        <v>54</v>
      </c>
      <c r="B64" s="19" t="s">
        <v>55</v>
      </c>
      <c r="C64" s="13"/>
      <c r="D64" s="26"/>
      <c r="E64" s="13"/>
      <c r="F64" s="2"/>
    </row>
    <row r="65" spans="1:6" x14ac:dyDescent="0.55000000000000004">
      <c r="A65" s="41" t="s">
        <v>55</v>
      </c>
      <c r="B65" s="19" t="s">
        <v>56</v>
      </c>
      <c r="C65" s="13" t="s">
        <v>57</v>
      </c>
      <c r="D65" s="26">
        <v>3</v>
      </c>
      <c r="E65" s="13">
        <v>466699.99774316826</v>
      </c>
      <c r="F65" s="2">
        <f>D65*E65</f>
        <v>1400099.9932295047</v>
      </c>
    </row>
    <row r="66" spans="1:6" ht="28.2" x14ac:dyDescent="0.55000000000000004">
      <c r="A66" s="41" t="s">
        <v>55</v>
      </c>
      <c r="B66" s="19" t="s">
        <v>58</v>
      </c>
      <c r="C66" s="13" t="s">
        <v>57</v>
      </c>
      <c r="D66" s="26">
        <v>6</v>
      </c>
      <c r="E66" s="13">
        <v>34692.65767935555</v>
      </c>
      <c r="F66" s="2">
        <f>D66*E66</f>
        <v>208155.94607613329</v>
      </c>
    </row>
    <row r="67" spans="1:6" ht="28.2" x14ac:dyDescent="0.55000000000000004">
      <c r="A67" s="41" t="s">
        <v>55</v>
      </c>
      <c r="B67" s="19" t="s">
        <v>59</v>
      </c>
      <c r="C67" s="13" t="s">
        <v>57</v>
      </c>
      <c r="D67" s="26">
        <v>3</v>
      </c>
      <c r="E67" s="13">
        <v>35407.780367219268</v>
      </c>
      <c r="F67" s="2">
        <f>D67*E67</f>
        <v>106223.3411016578</v>
      </c>
    </row>
    <row r="68" spans="1:6" ht="28.2" x14ac:dyDescent="0.55000000000000004">
      <c r="A68" s="41" t="s">
        <v>55</v>
      </c>
      <c r="B68" s="19" t="s">
        <v>60</v>
      </c>
      <c r="C68" s="13" t="s">
        <v>57</v>
      </c>
      <c r="D68" s="26">
        <v>2</v>
      </c>
      <c r="E68" s="13">
        <v>55124.68499309988</v>
      </c>
      <c r="F68" s="2">
        <f>D68*E68</f>
        <v>110249.36998619976</v>
      </c>
    </row>
    <row r="69" spans="1:6" x14ac:dyDescent="0.55000000000000004">
      <c r="A69" s="41"/>
      <c r="B69" s="19"/>
      <c r="C69" s="13"/>
      <c r="D69" s="26"/>
      <c r="E69" s="13"/>
      <c r="F69" s="2"/>
    </row>
    <row r="70" spans="1:6" x14ac:dyDescent="0.55000000000000004">
      <c r="A70" s="41"/>
      <c r="B70" s="19" t="s">
        <v>61</v>
      </c>
      <c r="C70" s="13"/>
      <c r="D70" s="26"/>
      <c r="E70" s="13"/>
      <c r="F70" s="2"/>
    </row>
    <row r="71" spans="1:6" x14ac:dyDescent="0.55000000000000004">
      <c r="A71" s="41" t="s">
        <v>62</v>
      </c>
      <c r="B71" s="19" t="s">
        <v>63</v>
      </c>
      <c r="C71" s="13" t="s">
        <v>57</v>
      </c>
      <c r="D71" s="26">
        <v>11</v>
      </c>
      <c r="E71" s="13">
        <v>7406.613443719566</v>
      </c>
      <c r="F71" s="2">
        <f t="shared" ref="F71:F78" si="0">D71*E71</f>
        <v>81472.747880915224</v>
      </c>
    </row>
    <row r="72" spans="1:6" x14ac:dyDescent="0.55000000000000004">
      <c r="A72" s="41" t="s">
        <v>62</v>
      </c>
      <c r="B72" s="19" t="s">
        <v>64</v>
      </c>
      <c r="C72" s="13" t="s">
        <v>57</v>
      </c>
      <c r="D72" s="26">
        <v>2</v>
      </c>
      <c r="E72" s="13">
        <v>14072.566802618196</v>
      </c>
      <c r="F72" s="2">
        <f t="shared" si="0"/>
        <v>28145.133605236391</v>
      </c>
    </row>
    <row r="73" spans="1:6" x14ac:dyDescent="0.55000000000000004">
      <c r="A73" s="42" t="s">
        <v>62</v>
      </c>
      <c r="B73" s="19" t="s">
        <v>65</v>
      </c>
      <c r="C73" s="13" t="s">
        <v>57</v>
      </c>
      <c r="D73" s="26">
        <v>2</v>
      </c>
      <c r="E73" s="13">
        <v>2740.4492413680773</v>
      </c>
      <c r="F73" s="2">
        <f t="shared" si="0"/>
        <v>5480.8984827361546</v>
      </c>
    </row>
    <row r="74" spans="1:6" x14ac:dyDescent="0.55000000000000004">
      <c r="A74" s="42" t="s">
        <v>62</v>
      </c>
      <c r="B74" s="19" t="s">
        <v>66</v>
      </c>
      <c r="C74" s="13" t="s">
        <v>57</v>
      </c>
      <c r="D74" s="26">
        <v>2</v>
      </c>
      <c r="E74" s="13">
        <v>3110.7824326560985</v>
      </c>
      <c r="F74" s="2">
        <f t="shared" si="0"/>
        <v>6221.5648653121971</v>
      </c>
    </row>
    <row r="75" spans="1:6" x14ac:dyDescent="0.55000000000000004">
      <c r="A75" s="42" t="s">
        <v>62</v>
      </c>
      <c r="B75" s="19" t="s">
        <v>67</v>
      </c>
      <c r="C75" s="13" t="s">
        <v>57</v>
      </c>
      <c r="D75" s="26">
        <v>3</v>
      </c>
      <c r="E75" s="13">
        <v>5184.6331892567596</v>
      </c>
      <c r="F75" s="2">
        <f t="shared" si="0"/>
        <v>15553.899567770279</v>
      </c>
    </row>
    <row r="76" spans="1:6" x14ac:dyDescent="0.55000000000000004">
      <c r="A76" s="42" t="s">
        <v>62</v>
      </c>
      <c r="B76" s="19" t="s">
        <v>68</v>
      </c>
      <c r="C76" s="13" t="s">
        <v>57</v>
      </c>
      <c r="D76" s="26">
        <v>3</v>
      </c>
      <c r="E76" s="13">
        <v>8887.9399111165403</v>
      </c>
      <c r="F76" s="2">
        <f t="shared" si="0"/>
        <v>26663.819733349621</v>
      </c>
    </row>
    <row r="77" spans="1:6" x14ac:dyDescent="0.55000000000000004">
      <c r="A77" s="42" t="s">
        <v>62</v>
      </c>
      <c r="B77" s="19" t="s">
        <v>69</v>
      </c>
      <c r="C77" s="13" t="s">
        <v>57</v>
      </c>
      <c r="D77" s="26">
        <v>3</v>
      </c>
      <c r="E77" s="13">
        <v>3777.3746196684083</v>
      </c>
      <c r="F77" s="2">
        <f t="shared" si="0"/>
        <v>11332.123859005225</v>
      </c>
    </row>
    <row r="78" spans="1:6" x14ac:dyDescent="0.55000000000000004">
      <c r="A78" s="42" t="s">
        <v>62</v>
      </c>
      <c r="B78" s="19" t="s">
        <v>70</v>
      </c>
      <c r="C78" s="13" t="s">
        <v>57</v>
      </c>
      <c r="D78" s="26">
        <v>1</v>
      </c>
      <c r="E78" s="13">
        <v>25034.344874825183</v>
      </c>
      <c r="F78" s="2">
        <f t="shared" si="0"/>
        <v>25034.344874825183</v>
      </c>
    </row>
    <row r="79" spans="1:6" x14ac:dyDescent="0.55000000000000004">
      <c r="A79" s="42"/>
      <c r="B79" s="19"/>
      <c r="C79" s="13"/>
      <c r="D79" s="26"/>
      <c r="E79" s="13"/>
      <c r="F79" s="2"/>
    </row>
    <row r="80" spans="1:6" x14ac:dyDescent="0.55000000000000004">
      <c r="A80" s="42"/>
      <c r="B80" s="19"/>
      <c r="C80" s="13"/>
      <c r="D80" s="26"/>
      <c r="E80" s="13"/>
      <c r="F80" s="2"/>
    </row>
    <row r="81" spans="1:6" x14ac:dyDescent="0.55000000000000004">
      <c r="A81" s="42"/>
      <c r="B81" s="19" t="s">
        <v>71</v>
      </c>
      <c r="C81" s="13"/>
      <c r="D81" s="26"/>
      <c r="E81" s="13"/>
      <c r="F81" s="2"/>
    </row>
    <row r="82" spans="1:6" x14ac:dyDescent="0.55000000000000004">
      <c r="A82" s="42" t="s">
        <v>71</v>
      </c>
      <c r="B82" s="19" t="s">
        <v>72</v>
      </c>
      <c r="C82" s="13" t="s">
        <v>73</v>
      </c>
      <c r="D82" s="26">
        <v>10</v>
      </c>
      <c r="E82" s="13">
        <v>1335.3319085159669</v>
      </c>
      <c r="F82" s="2">
        <f t="shared" ref="F82:F90" si="1">D82*E82</f>
        <v>13353.31908515967</v>
      </c>
    </row>
    <row r="83" spans="1:6" x14ac:dyDescent="0.55000000000000004">
      <c r="A83" s="42" t="s">
        <v>71</v>
      </c>
      <c r="B83" s="19" t="s">
        <v>74</v>
      </c>
      <c r="C83" s="13" t="s">
        <v>73</v>
      </c>
      <c r="D83" s="26">
        <v>13</v>
      </c>
      <c r="E83" s="13">
        <v>1859.3177288946133</v>
      </c>
      <c r="F83" s="2">
        <f t="shared" si="1"/>
        <v>24171.130475629972</v>
      </c>
    </row>
    <row r="84" spans="1:6" x14ac:dyDescent="0.55000000000000004">
      <c r="A84" s="42" t="s">
        <v>71</v>
      </c>
      <c r="B84" s="19" t="s">
        <v>75</v>
      </c>
      <c r="C84" s="13" t="s">
        <v>73</v>
      </c>
      <c r="D84" s="26">
        <v>14</v>
      </c>
      <c r="E84" s="13">
        <v>2958.0051915252889</v>
      </c>
      <c r="F84" s="2">
        <f t="shared" si="1"/>
        <v>41412.072681354046</v>
      </c>
    </row>
    <row r="85" spans="1:6" x14ac:dyDescent="0.55000000000000004">
      <c r="A85" s="42" t="s">
        <v>71</v>
      </c>
      <c r="B85" s="19" t="s">
        <v>76</v>
      </c>
      <c r="C85" s="13" t="s">
        <v>73</v>
      </c>
      <c r="D85" s="26">
        <v>9</v>
      </c>
      <c r="E85" s="13">
        <v>4267.3273714510315</v>
      </c>
      <c r="F85" s="2">
        <f t="shared" si="1"/>
        <v>38405.94634305928</v>
      </c>
    </row>
    <row r="86" spans="1:6" x14ac:dyDescent="0.55000000000000004">
      <c r="A86" s="42" t="s">
        <v>71</v>
      </c>
      <c r="B86" s="19" t="s">
        <v>77</v>
      </c>
      <c r="C86" s="13" t="s">
        <v>73</v>
      </c>
      <c r="D86" s="26">
        <v>9</v>
      </c>
      <c r="E86" s="13">
        <v>5442.7277890351015</v>
      </c>
      <c r="F86" s="2">
        <f t="shared" si="1"/>
        <v>48984.550101315916</v>
      </c>
    </row>
    <row r="87" spans="1:6" x14ac:dyDescent="0.55000000000000004">
      <c r="A87" s="42" t="s">
        <v>71</v>
      </c>
      <c r="B87" s="19" t="s">
        <v>78</v>
      </c>
      <c r="C87" s="13" t="s">
        <v>73</v>
      </c>
      <c r="D87" s="26">
        <v>2</v>
      </c>
      <c r="E87" s="13">
        <v>6845.6660986203315</v>
      </c>
      <c r="F87" s="2">
        <f t="shared" si="1"/>
        <v>13691.332197240663</v>
      </c>
    </row>
    <row r="88" spans="1:6" x14ac:dyDescent="0.55000000000000004">
      <c r="A88" s="42" t="s">
        <v>71</v>
      </c>
      <c r="B88" s="19" t="s">
        <v>79</v>
      </c>
      <c r="C88" s="13" t="s">
        <v>73</v>
      </c>
      <c r="D88" s="26">
        <v>8</v>
      </c>
      <c r="E88" s="13">
        <v>9803.6649923905134</v>
      </c>
      <c r="F88" s="2">
        <f t="shared" si="1"/>
        <v>78429.319939124107</v>
      </c>
    </row>
    <row r="89" spans="1:6" x14ac:dyDescent="0.55000000000000004">
      <c r="A89" s="42" t="s">
        <v>71</v>
      </c>
      <c r="B89" s="19" t="s">
        <v>80</v>
      </c>
      <c r="C89" s="13" t="s">
        <v>73</v>
      </c>
      <c r="D89" s="26">
        <v>5</v>
      </c>
      <c r="E89" s="13">
        <v>13234.940182421067</v>
      </c>
      <c r="F89" s="2">
        <f t="shared" si="1"/>
        <v>66174.700912105342</v>
      </c>
    </row>
    <row r="90" spans="1:6" x14ac:dyDescent="0.55000000000000004">
      <c r="A90" s="42" t="s">
        <v>71</v>
      </c>
      <c r="B90" s="19" t="s">
        <v>81</v>
      </c>
      <c r="C90" s="13" t="s">
        <v>73</v>
      </c>
      <c r="D90" s="26">
        <v>4</v>
      </c>
      <c r="E90" s="13">
        <v>13234.940182421065</v>
      </c>
      <c r="F90" s="2">
        <f t="shared" si="1"/>
        <v>52939.760729684262</v>
      </c>
    </row>
    <row r="91" spans="1:6" x14ac:dyDescent="0.55000000000000004">
      <c r="A91" s="42"/>
      <c r="B91" s="19"/>
      <c r="C91" s="13"/>
      <c r="D91" s="26"/>
      <c r="E91" s="13"/>
      <c r="F91" s="2"/>
    </row>
    <row r="92" spans="1:6" x14ac:dyDescent="0.55000000000000004">
      <c r="A92" s="42"/>
      <c r="B92" s="19" t="s">
        <v>82</v>
      </c>
      <c r="C92" s="13"/>
      <c r="D92" s="26"/>
      <c r="E92" s="13"/>
      <c r="F92" s="2"/>
    </row>
    <row r="93" spans="1:6" x14ac:dyDescent="0.55000000000000004">
      <c r="A93" s="42" t="s">
        <v>82</v>
      </c>
      <c r="B93" s="19" t="s">
        <v>72</v>
      </c>
      <c r="C93" s="13" t="s">
        <v>73</v>
      </c>
      <c r="D93" s="26">
        <v>19</v>
      </c>
      <c r="E93" s="13">
        <v>273.05176815649821</v>
      </c>
      <c r="F93" s="2">
        <f t="shared" ref="F93:F101" si="2">D93*E93</f>
        <v>5187.9835949734661</v>
      </c>
    </row>
    <row r="94" spans="1:6" x14ac:dyDescent="0.55000000000000004">
      <c r="A94" s="42" t="s">
        <v>82</v>
      </c>
      <c r="B94" s="19" t="s">
        <v>74</v>
      </c>
      <c r="C94" s="13" t="s">
        <v>73</v>
      </c>
      <c r="D94" s="26">
        <v>26</v>
      </c>
      <c r="E94" s="13">
        <v>278.25371387454294</v>
      </c>
      <c r="F94" s="2">
        <f t="shared" si="2"/>
        <v>7234.5965607381168</v>
      </c>
    </row>
    <row r="95" spans="1:6" x14ac:dyDescent="0.55000000000000004">
      <c r="A95" s="42" t="s">
        <v>82</v>
      </c>
      <c r="B95" s="19" t="s">
        <v>75</v>
      </c>
      <c r="C95" s="13" t="s">
        <v>73</v>
      </c>
      <c r="D95" s="26">
        <v>27</v>
      </c>
      <c r="E95" s="13">
        <v>325.05862982673278</v>
      </c>
      <c r="F95" s="2">
        <f t="shared" si="2"/>
        <v>8776.5830053217851</v>
      </c>
    </row>
    <row r="96" spans="1:6" x14ac:dyDescent="0.55000000000000004">
      <c r="A96" s="42" t="s">
        <v>82</v>
      </c>
      <c r="B96" s="19" t="s">
        <v>76</v>
      </c>
      <c r="C96" s="13" t="s">
        <v>73</v>
      </c>
      <c r="D96" s="26">
        <v>18</v>
      </c>
      <c r="E96" s="13">
        <v>396.57593681718868</v>
      </c>
      <c r="F96" s="2">
        <f t="shared" si="2"/>
        <v>7138.3668627093957</v>
      </c>
    </row>
    <row r="97" spans="1:6" x14ac:dyDescent="0.55000000000000004">
      <c r="A97" s="42" t="s">
        <v>82</v>
      </c>
      <c r="B97" s="19" t="s">
        <v>77</v>
      </c>
      <c r="C97" s="13" t="s">
        <v>73</v>
      </c>
      <c r="D97" s="26">
        <v>17</v>
      </c>
      <c r="E97" s="13">
        <v>445.98182562840083</v>
      </c>
      <c r="F97" s="2">
        <f t="shared" si="2"/>
        <v>7581.6910356828139</v>
      </c>
    </row>
    <row r="98" spans="1:6" x14ac:dyDescent="0.55000000000000004">
      <c r="A98" s="42" t="s">
        <v>82</v>
      </c>
      <c r="B98" s="19" t="s">
        <v>78</v>
      </c>
      <c r="C98" s="13" t="s">
        <v>73</v>
      </c>
      <c r="D98" s="26">
        <v>4</v>
      </c>
      <c r="E98" s="13">
        <v>494.09037688765517</v>
      </c>
      <c r="F98" s="2">
        <f t="shared" si="2"/>
        <v>1976.3615075506207</v>
      </c>
    </row>
    <row r="99" spans="1:6" x14ac:dyDescent="0.55000000000000004">
      <c r="A99" s="42" t="s">
        <v>82</v>
      </c>
      <c r="B99" s="19" t="s">
        <v>79</v>
      </c>
      <c r="C99" s="13" t="s">
        <v>73</v>
      </c>
      <c r="D99" s="26">
        <v>15</v>
      </c>
      <c r="E99" s="13">
        <v>533.0986720178845</v>
      </c>
      <c r="F99" s="2">
        <f t="shared" si="2"/>
        <v>7996.4800802682676</v>
      </c>
    </row>
    <row r="100" spans="1:6" x14ac:dyDescent="0.55000000000000004">
      <c r="A100" s="42" t="s">
        <v>82</v>
      </c>
      <c r="B100" s="19" t="s">
        <v>80</v>
      </c>
      <c r="C100" s="13" t="s">
        <v>73</v>
      </c>
      <c r="D100" s="26">
        <v>10</v>
      </c>
      <c r="E100" s="13">
        <v>564.29775081593993</v>
      </c>
      <c r="F100" s="2">
        <f t="shared" si="2"/>
        <v>5642.9775081593998</v>
      </c>
    </row>
    <row r="101" spans="1:6" x14ac:dyDescent="0.55000000000000004">
      <c r="A101" s="42" t="s">
        <v>82</v>
      </c>
      <c r="B101" s="19" t="s">
        <v>81</v>
      </c>
      <c r="C101" s="13" t="s">
        <v>73</v>
      </c>
      <c r="D101" s="26">
        <v>8</v>
      </c>
      <c r="E101" s="13">
        <v>564.29775081593993</v>
      </c>
      <c r="F101" s="2">
        <f t="shared" si="2"/>
        <v>4514.3820065275195</v>
      </c>
    </row>
    <row r="102" spans="1:6" x14ac:dyDescent="0.55000000000000004">
      <c r="A102" s="42"/>
      <c r="B102" s="19"/>
      <c r="C102" s="13"/>
      <c r="D102" s="26"/>
      <c r="E102" s="13"/>
      <c r="F102" s="2"/>
    </row>
    <row r="103" spans="1:6" x14ac:dyDescent="0.55000000000000004">
      <c r="A103" s="42" t="s">
        <v>83</v>
      </c>
      <c r="B103" s="19" t="s">
        <v>83</v>
      </c>
      <c r="C103" s="13" t="s">
        <v>25</v>
      </c>
      <c r="D103" s="26">
        <v>1</v>
      </c>
      <c r="E103" s="13">
        <v>36511.814623935432</v>
      </c>
      <c r="F103" s="2">
        <f>D103*E103</f>
        <v>36511.814623935432</v>
      </c>
    </row>
    <row r="104" spans="1:6" x14ac:dyDescent="0.55000000000000004">
      <c r="A104" s="42"/>
      <c r="B104" s="19"/>
      <c r="C104" s="13"/>
      <c r="D104" s="26"/>
      <c r="E104" s="13"/>
      <c r="F104" s="2"/>
    </row>
    <row r="105" spans="1:6" x14ac:dyDescent="0.55000000000000004">
      <c r="A105" s="42" t="s">
        <v>84</v>
      </c>
      <c r="B105" s="19" t="s">
        <v>84</v>
      </c>
      <c r="C105" s="13" t="s">
        <v>85</v>
      </c>
      <c r="D105" s="26">
        <v>22</v>
      </c>
      <c r="E105" s="13">
        <v>2019.9923549290886</v>
      </c>
      <c r="F105" s="2">
        <f>D105*E105</f>
        <v>44439.831808439951</v>
      </c>
    </row>
    <row r="106" spans="1:6" x14ac:dyDescent="0.55000000000000004">
      <c r="A106" s="42"/>
      <c r="B106" s="19"/>
      <c r="C106" s="13"/>
      <c r="D106" s="26"/>
      <c r="E106" s="13"/>
      <c r="F106" s="2"/>
    </row>
    <row r="107" spans="1:6" x14ac:dyDescent="0.55000000000000004">
      <c r="A107" s="42" t="s">
        <v>86</v>
      </c>
      <c r="B107" s="19" t="s">
        <v>86</v>
      </c>
      <c r="C107" s="13" t="s">
        <v>25</v>
      </c>
      <c r="D107" s="26">
        <v>1</v>
      </c>
      <c r="E107" s="13">
        <v>14032.563462181122</v>
      </c>
      <c r="F107" s="2">
        <f>D107*E107</f>
        <v>14032.563462181122</v>
      </c>
    </row>
    <row r="108" spans="1:6" x14ac:dyDescent="0.55000000000000004">
      <c r="A108" s="42"/>
      <c r="B108" s="19"/>
      <c r="C108" s="13"/>
      <c r="D108" s="26"/>
      <c r="E108" s="13"/>
      <c r="F108" s="2"/>
    </row>
    <row r="109" spans="1:6" x14ac:dyDescent="0.55000000000000004">
      <c r="A109" s="42" t="s">
        <v>87</v>
      </c>
      <c r="B109" s="19" t="s">
        <v>87</v>
      </c>
      <c r="C109" s="13" t="s">
        <v>88</v>
      </c>
      <c r="D109" s="26">
        <v>3</v>
      </c>
      <c r="E109" s="13">
        <v>6059.9581715219456</v>
      </c>
      <c r="F109" s="2">
        <f>D109*E109</f>
        <v>18179.874514565836</v>
      </c>
    </row>
    <row r="110" spans="1:6" x14ac:dyDescent="0.55000000000000004">
      <c r="A110" s="42"/>
      <c r="B110" s="19"/>
      <c r="C110" s="13"/>
      <c r="D110" s="26"/>
      <c r="E110" s="13"/>
      <c r="F110" s="2"/>
    </row>
    <row r="111" spans="1:6" x14ac:dyDescent="0.55000000000000004">
      <c r="A111" s="42"/>
      <c r="B111" s="19" t="s">
        <v>89</v>
      </c>
      <c r="C111" s="13"/>
      <c r="D111" s="26"/>
      <c r="E111" s="13"/>
      <c r="F111" s="2"/>
    </row>
    <row r="112" spans="1:6" x14ac:dyDescent="0.55000000000000004">
      <c r="A112" s="42" t="s">
        <v>89</v>
      </c>
      <c r="B112" s="19" t="s">
        <v>90</v>
      </c>
      <c r="C112" s="13" t="s">
        <v>73</v>
      </c>
      <c r="D112" s="26">
        <v>39</v>
      </c>
      <c r="E112" s="13">
        <v>254.52377263290526</v>
      </c>
      <c r="F112" s="2">
        <f>D112*E112</f>
        <v>9926.4271326833059</v>
      </c>
    </row>
    <row r="113" spans="1:6" x14ac:dyDescent="0.55000000000000004">
      <c r="A113" s="42" t="s">
        <v>89</v>
      </c>
      <c r="B113" s="19" t="s">
        <v>91</v>
      </c>
      <c r="C113" s="13" t="s">
        <v>73</v>
      </c>
      <c r="D113" s="26">
        <v>22</v>
      </c>
      <c r="E113" s="13">
        <v>404.20881600637779</v>
      </c>
      <c r="F113" s="2">
        <f>D113*E113</f>
        <v>8892.5939521403106</v>
      </c>
    </row>
    <row r="114" spans="1:6" x14ac:dyDescent="0.55000000000000004">
      <c r="A114" s="42"/>
      <c r="B114" s="19"/>
      <c r="C114" s="13"/>
      <c r="D114" s="26"/>
      <c r="E114" s="13"/>
      <c r="F114" s="2"/>
    </row>
    <row r="115" spans="1:6" x14ac:dyDescent="0.55000000000000004">
      <c r="A115" s="42"/>
      <c r="B115" s="19" t="s">
        <v>92</v>
      </c>
      <c r="C115" s="13"/>
      <c r="D115" s="26"/>
      <c r="E115" s="13"/>
      <c r="F115" s="2"/>
    </row>
    <row r="116" spans="1:6" x14ac:dyDescent="0.55000000000000004">
      <c r="A116" s="42" t="s">
        <v>92</v>
      </c>
      <c r="B116" s="19" t="s">
        <v>93</v>
      </c>
      <c r="C116" s="13" t="s">
        <v>73</v>
      </c>
      <c r="D116" s="26">
        <v>77</v>
      </c>
      <c r="E116" s="13">
        <v>269.33609264360905</v>
      </c>
      <c r="F116" s="2">
        <f>D116*E116</f>
        <v>20738.879133557897</v>
      </c>
    </row>
    <row r="117" spans="1:6" x14ac:dyDescent="0.55000000000000004">
      <c r="A117" s="42" t="s">
        <v>92</v>
      </c>
      <c r="B117" s="19" t="s">
        <v>94</v>
      </c>
      <c r="C117" s="13" t="s">
        <v>73</v>
      </c>
      <c r="D117" s="26">
        <v>43</v>
      </c>
      <c r="E117" s="13">
        <v>511.73668669632514</v>
      </c>
      <c r="F117" s="2">
        <f>D117*E117</f>
        <v>22004.677527941982</v>
      </c>
    </row>
    <row r="118" spans="1:6" x14ac:dyDescent="0.55000000000000004">
      <c r="A118" s="42"/>
      <c r="B118" s="19"/>
      <c r="C118" s="13"/>
      <c r="D118" s="26"/>
      <c r="E118" s="13"/>
      <c r="F118" s="2"/>
    </row>
    <row r="119" spans="1:6" x14ac:dyDescent="0.55000000000000004">
      <c r="A119" s="42"/>
      <c r="B119" s="19" t="s">
        <v>95</v>
      </c>
      <c r="C119" s="13"/>
      <c r="D119" s="26"/>
      <c r="E119" s="13"/>
      <c r="F119" s="2"/>
    </row>
    <row r="120" spans="1:6" x14ac:dyDescent="0.55000000000000004">
      <c r="A120" s="42" t="s">
        <v>96</v>
      </c>
      <c r="B120" s="19" t="s">
        <v>96</v>
      </c>
      <c r="C120" s="13" t="s">
        <v>88</v>
      </c>
      <c r="D120" s="26">
        <v>9</v>
      </c>
      <c r="E120" s="13">
        <v>19191.249900398725</v>
      </c>
      <c r="F120" s="2">
        <f>D120*E120</f>
        <v>172721.24910358852</v>
      </c>
    </row>
    <row r="121" spans="1:6" x14ac:dyDescent="0.55000000000000004">
      <c r="A121" s="42"/>
      <c r="B121" s="19"/>
      <c r="C121" s="13"/>
      <c r="D121" s="26"/>
      <c r="E121" s="13"/>
      <c r="F121" s="2"/>
    </row>
    <row r="122" spans="1:6" x14ac:dyDescent="0.55000000000000004">
      <c r="A122" s="42"/>
      <c r="B122" s="19" t="s">
        <v>97</v>
      </c>
      <c r="C122" s="13"/>
      <c r="D122" s="26"/>
      <c r="E122" s="13"/>
      <c r="F122" s="2"/>
    </row>
    <row r="123" spans="1:6" x14ac:dyDescent="0.55000000000000004">
      <c r="A123" s="42" t="s">
        <v>97</v>
      </c>
      <c r="B123" s="19" t="s">
        <v>98</v>
      </c>
      <c r="C123" s="13" t="s">
        <v>88</v>
      </c>
      <c r="D123" s="26">
        <v>11</v>
      </c>
      <c r="E123" s="13">
        <v>121.20659478146466</v>
      </c>
      <c r="F123" s="2">
        <f>D123*E123</f>
        <v>1333.2725425961112</v>
      </c>
    </row>
    <row r="124" spans="1:6" x14ac:dyDescent="0.55000000000000004">
      <c r="A124" s="42" t="s">
        <v>97</v>
      </c>
      <c r="B124" s="19" t="s">
        <v>99</v>
      </c>
      <c r="C124" s="13" t="s">
        <v>88</v>
      </c>
      <c r="D124" s="26">
        <v>2</v>
      </c>
      <c r="E124" s="13">
        <v>33.674096554946054</v>
      </c>
      <c r="F124" s="2">
        <f>D124*E124</f>
        <v>67.348193109892108</v>
      </c>
    </row>
    <row r="125" spans="1:6" x14ac:dyDescent="0.55000000000000004">
      <c r="A125" s="42" t="s">
        <v>97</v>
      </c>
      <c r="B125" s="19" t="s">
        <v>100</v>
      </c>
      <c r="C125" s="13" t="s">
        <v>88</v>
      </c>
      <c r="D125" s="26">
        <v>2</v>
      </c>
      <c r="E125" s="13">
        <v>127.93889499041124</v>
      </c>
      <c r="F125" s="2">
        <f>D125*E125</f>
        <v>255.87778998082248</v>
      </c>
    </row>
    <row r="126" spans="1:6" x14ac:dyDescent="0.55000000000000004">
      <c r="A126" s="42" t="s">
        <v>97</v>
      </c>
      <c r="B126" s="19" t="s">
        <v>101</v>
      </c>
      <c r="C126" s="13" t="s">
        <v>88</v>
      </c>
      <c r="D126" s="26">
        <v>6</v>
      </c>
      <c r="E126" s="13">
        <v>27.47710553005977</v>
      </c>
      <c r="F126" s="2">
        <f>D126*E126</f>
        <v>164.86263318035861</v>
      </c>
    </row>
    <row r="127" spans="1:6" x14ac:dyDescent="0.55000000000000004">
      <c r="A127" s="42" t="s">
        <v>97</v>
      </c>
      <c r="B127" s="19" t="s">
        <v>102</v>
      </c>
      <c r="C127" s="13" t="s">
        <v>88</v>
      </c>
      <c r="D127" s="26">
        <v>4</v>
      </c>
      <c r="E127" s="13">
        <v>134.67119519935784</v>
      </c>
      <c r="F127" s="2">
        <f>D127*E127</f>
        <v>538.68478079743136</v>
      </c>
    </row>
    <row r="128" spans="1:6" x14ac:dyDescent="0.55000000000000004">
      <c r="A128" s="42"/>
      <c r="B128" s="19"/>
      <c r="C128" s="13"/>
      <c r="D128" s="26"/>
      <c r="E128" s="13"/>
      <c r="F128" s="2"/>
    </row>
    <row r="129" spans="1:6" x14ac:dyDescent="0.55000000000000004">
      <c r="A129" s="42"/>
      <c r="B129" s="19" t="s">
        <v>103</v>
      </c>
      <c r="C129" s="13"/>
      <c r="D129" s="26"/>
      <c r="E129" s="13"/>
      <c r="F129" s="2"/>
    </row>
    <row r="130" spans="1:6" x14ac:dyDescent="0.55000000000000004">
      <c r="A130" s="43"/>
      <c r="B130" s="19" t="s">
        <v>104</v>
      </c>
      <c r="C130" s="13"/>
      <c r="D130" s="26"/>
      <c r="E130" s="13"/>
      <c r="F130" s="2"/>
    </row>
    <row r="131" spans="1:6" x14ac:dyDescent="0.55000000000000004">
      <c r="A131" s="42" t="s">
        <v>104</v>
      </c>
      <c r="B131" s="19" t="s">
        <v>105</v>
      </c>
      <c r="C131" s="13" t="s">
        <v>106</v>
      </c>
      <c r="D131" s="26">
        <v>78</v>
      </c>
      <c r="E131" s="13">
        <v>254.52377263290526</v>
      </c>
      <c r="F131" s="2">
        <f>D131*E131</f>
        <v>19852.854265366612</v>
      </c>
    </row>
    <row r="132" spans="1:6" x14ac:dyDescent="0.55000000000000004">
      <c r="A132" s="42" t="s">
        <v>104</v>
      </c>
      <c r="B132" s="19" t="s">
        <v>107</v>
      </c>
      <c r="C132" s="13" t="s">
        <v>106</v>
      </c>
      <c r="D132" s="26">
        <v>586</v>
      </c>
      <c r="E132" s="13">
        <v>41.483312887119808</v>
      </c>
      <c r="F132" s="2">
        <f>D132*E132</f>
        <v>24309.221351852208</v>
      </c>
    </row>
    <row r="133" spans="1:6" x14ac:dyDescent="0.55000000000000004">
      <c r="A133" s="42" t="s">
        <v>104</v>
      </c>
      <c r="B133" s="19" t="s">
        <v>108</v>
      </c>
      <c r="C133" s="13" t="s">
        <v>88</v>
      </c>
      <c r="D133" s="26">
        <v>29</v>
      </c>
      <c r="E133" s="13">
        <v>20.209496137052906</v>
      </c>
      <c r="F133" s="2">
        <f>D133*E133</f>
        <v>586.07538797453424</v>
      </c>
    </row>
    <row r="134" spans="1:6" x14ac:dyDescent="0.55000000000000004">
      <c r="A134" s="42"/>
      <c r="B134" s="19" t="s">
        <v>109</v>
      </c>
      <c r="C134" s="13"/>
      <c r="D134" s="26"/>
      <c r="E134" s="13"/>
      <c r="F134" s="2"/>
    </row>
    <row r="135" spans="1:6" x14ac:dyDescent="0.55000000000000004">
      <c r="A135" s="42" t="s">
        <v>109</v>
      </c>
      <c r="B135" s="19" t="s">
        <v>110</v>
      </c>
      <c r="C135" s="13" t="s">
        <v>106</v>
      </c>
      <c r="D135" s="26">
        <v>419</v>
      </c>
      <c r="E135" s="13">
        <v>50.91105228168766</v>
      </c>
      <c r="F135" s="2">
        <f>D135*E135</f>
        <v>21331.730906027129</v>
      </c>
    </row>
    <row r="136" spans="1:6" x14ac:dyDescent="0.55000000000000004">
      <c r="A136" s="42" t="s">
        <v>109</v>
      </c>
      <c r="B136" s="19" t="s">
        <v>111</v>
      </c>
      <c r="C136" s="13" t="s">
        <v>106</v>
      </c>
      <c r="D136" s="26">
        <v>71</v>
      </c>
      <c r="E136" s="13">
        <v>49.424782076532004</v>
      </c>
      <c r="F136" s="2">
        <f>D136*E136</f>
        <v>3509.1595274337724</v>
      </c>
    </row>
    <row r="137" spans="1:6" x14ac:dyDescent="0.55000000000000004">
      <c r="A137" s="42" t="s">
        <v>109</v>
      </c>
      <c r="B137" s="19" t="s">
        <v>112</v>
      </c>
      <c r="C137" s="13" t="s">
        <v>106</v>
      </c>
      <c r="D137" s="26">
        <v>26</v>
      </c>
      <c r="E137" s="13">
        <v>75.642336585273426</v>
      </c>
      <c r="F137" s="2">
        <f>D137*E137</f>
        <v>1966.700751217109</v>
      </c>
    </row>
    <row r="138" spans="1:6" x14ac:dyDescent="0.55000000000000004">
      <c r="A138" s="42" t="s">
        <v>109</v>
      </c>
      <c r="B138" s="19" t="s">
        <v>113</v>
      </c>
      <c r="C138" s="13" t="s">
        <v>106</v>
      </c>
      <c r="D138" s="26">
        <v>59</v>
      </c>
      <c r="E138" s="13">
        <v>497.73047933926517</v>
      </c>
      <c r="F138" s="2">
        <f>D138*E138</f>
        <v>29366.098281016646</v>
      </c>
    </row>
    <row r="139" spans="1:6" x14ac:dyDescent="0.55000000000000004">
      <c r="A139" s="42"/>
      <c r="B139" s="19" t="s">
        <v>114</v>
      </c>
      <c r="C139" s="13"/>
      <c r="D139" s="26"/>
      <c r="E139" s="13"/>
      <c r="F139" s="2"/>
    </row>
    <row r="140" spans="1:6" x14ac:dyDescent="0.55000000000000004">
      <c r="A140" s="42" t="s">
        <v>109</v>
      </c>
      <c r="B140" s="19" t="s">
        <v>115</v>
      </c>
      <c r="C140" s="13" t="s">
        <v>106</v>
      </c>
      <c r="D140" s="26">
        <v>72</v>
      </c>
      <c r="E140" s="13">
        <v>49.424782076532004</v>
      </c>
      <c r="F140" s="2">
        <f>D140*E140</f>
        <v>3558.5843095103041</v>
      </c>
    </row>
    <row r="141" spans="1:6" x14ac:dyDescent="0.55000000000000004">
      <c r="A141" s="42" t="s">
        <v>109</v>
      </c>
      <c r="B141" s="19" t="s">
        <v>116</v>
      </c>
      <c r="C141" s="13" t="s">
        <v>106</v>
      </c>
      <c r="D141" s="26">
        <v>20</v>
      </c>
      <c r="E141" s="13">
        <v>118.32222294264567</v>
      </c>
      <c r="F141" s="2">
        <f>D141*E141</f>
        <v>2366.4444588529132</v>
      </c>
    </row>
    <row r="142" spans="1:6" x14ac:dyDescent="0.55000000000000004">
      <c r="A142" s="42"/>
      <c r="B142" s="19"/>
      <c r="C142" s="13"/>
      <c r="D142" s="26"/>
      <c r="E142" s="13"/>
      <c r="F142" s="2"/>
    </row>
    <row r="143" spans="1:6" x14ac:dyDescent="0.55000000000000004">
      <c r="A143" s="42" t="s">
        <v>117</v>
      </c>
      <c r="B143" s="19" t="s">
        <v>118</v>
      </c>
      <c r="C143" s="13"/>
      <c r="D143" s="26"/>
      <c r="E143" s="13"/>
      <c r="F143" s="2"/>
    </row>
    <row r="144" spans="1:6" x14ac:dyDescent="0.55000000000000004">
      <c r="A144" s="42" t="s">
        <v>118</v>
      </c>
      <c r="B144" s="19" t="s">
        <v>119</v>
      </c>
      <c r="C144" s="13" t="s">
        <v>88</v>
      </c>
      <c r="D144" s="26">
        <v>14</v>
      </c>
      <c r="E144" s="13">
        <v>1021.2198266903417</v>
      </c>
      <c r="F144" s="2">
        <f t="shared" ref="F144:F157" si="3">D144*E144</f>
        <v>14297.077573664785</v>
      </c>
    </row>
    <row r="145" spans="1:6" x14ac:dyDescent="0.55000000000000004">
      <c r="A145" s="42" t="s">
        <v>118</v>
      </c>
      <c r="B145" s="19" t="s">
        <v>120</v>
      </c>
      <c r="C145" s="13" t="s">
        <v>73</v>
      </c>
      <c r="D145" s="26">
        <v>5</v>
      </c>
      <c r="E145" s="13">
        <v>1853.9058580063488</v>
      </c>
      <c r="F145" s="2">
        <f t="shared" si="3"/>
        <v>9269.5292900317436</v>
      </c>
    </row>
    <row r="146" spans="1:6" x14ac:dyDescent="0.55000000000000004">
      <c r="A146" s="42" t="s">
        <v>118</v>
      </c>
      <c r="B146" s="19" t="s">
        <v>121</v>
      </c>
      <c r="C146" s="13" t="s">
        <v>122</v>
      </c>
      <c r="D146" s="26">
        <v>15</v>
      </c>
      <c r="E146" s="13">
        <v>204.24984324283454</v>
      </c>
      <c r="F146" s="2">
        <f t="shared" si="3"/>
        <v>3063.747648642518</v>
      </c>
    </row>
    <row r="147" spans="1:6" x14ac:dyDescent="0.55000000000000004">
      <c r="A147" s="42" t="s">
        <v>118</v>
      </c>
      <c r="B147" s="19" t="s">
        <v>123</v>
      </c>
      <c r="C147" s="13" t="s">
        <v>124</v>
      </c>
      <c r="D147" s="26">
        <v>29</v>
      </c>
      <c r="E147" s="13">
        <v>274.95369019868883</v>
      </c>
      <c r="F147" s="2">
        <f t="shared" si="3"/>
        <v>7973.6570157619763</v>
      </c>
    </row>
    <row r="148" spans="1:6" x14ac:dyDescent="0.55000000000000004">
      <c r="A148" s="42" t="s">
        <v>118</v>
      </c>
      <c r="B148" s="19" t="s">
        <v>125</v>
      </c>
      <c r="C148" s="13" t="s">
        <v>73</v>
      </c>
      <c r="D148" s="26">
        <v>66</v>
      </c>
      <c r="E148" s="13">
        <v>125.69164604320912</v>
      </c>
      <c r="F148" s="2">
        <f t="shared" si="3"/>
        <v>8295.6486388518024</v>
      </c>
    </row>
    <row r="149" spans="1:6" x14ac:dyDescent="0.55000000000000004">
      <c r="A149" s="42" t="s">
        <v>118</v>
      </c>
      <c r="B149" s="19" t="s">
        <v>126</v>
      </c>
      <c r="C149" s="13" t="s">
        <v>88</v>
      </c>
      <c r="D149" s="26">
        <v>22</v>
      </c>
      <c r="E149" s="13">
        <v>15.716047868499693</v>
      </c>
      <c r="F149" s="2">
        <f t="shared" si="3"/>
        <v>345.75305310699326</v>
      </c>
    </row>
    <row r="150" spans="1:6" x14ac:dyDescent="0.55000000000000004">
      <c r="A150" s="42" t="s">
        <v>118</v>
      </c>
      <c r="B150" s="19" t="s">
        <v>127</v>
      </c>
      <c r="C150" s="13" t="s">
        <v>88</v>
      </c>
      <c r="D150" s="26">
        <v>22</v>
      </c>
      <c r="E150" s="13">
        <v>7.8616976247286896</v>
      </c>
      <c r="F150" s="2">
        <f t="shared" si="3"/>
        <v>172.95734774403118</v>
      </c>
    </row>
    <row r="151" spans="1:6" x14ac:dyDescent="0.55000000000000004">
      <c r="A151" s="42" t="s">
        <v>118</v>
      </c>
      <c r="B151" s="19" t="s">
        <v>128</v>
      </c>
      <c r="C151" s="13" t="s">
        <v>129</v>
      </c>
      <c r="D151" s="26">
        <v>1</v>
      </c>
      <c r="E151" s="13">
        <v>2521.6211446793336</v>
      </c>
      <c r="F151" s="2">
        <f t="shared" si="3"/>
        <v>2521.6211446793336</v>
      </c>
    </row>
    <row r="152" spans="1:6" x14ac:dyDescent="0.55000000000000004">
      <c r="A152" s="42" t="s">
        <v>118</v>
      </c>
      <c r="B152" s="19" t="s">
        <v>130</v>
      </c>
      <c r="C152" s="13" t="s">
        <v>88</v>
      </c>
      <c r="D152" s="26">
        <v>246</v>
      </c>
      <c r="E152" s="13">
        <v>31.432095736999393</v>
      </c>
      <c r="F152" s="2">
        <f t="shared" si="3"/>
        <v>7732.2955513018505</v>
      </c>
    </row>
    <row r="153" spans="1:6" x14ac:dyDescent="0.55000000000000004">
      <c r="A153" s="42" t="s">
        <v>118</v>
      </c>
      <c r="B153" s="19" t="s">
        <v>131</v>
      </c>
      <c r="C153" s="13" t="s">
        <v>132</v>
      </c>
      <c r="D153" s="26">
        <v>4</v>
      </c>
      <c r="E153" s="13">
        <v>10652.063922697465</v>
      </c>
      <c r="F153" s="2">
        <f t="shared" si="3"/>
        <v>42608.255690789862</v>
      </c>
    </row>
    <row r="154" spans="1:6" x14ac:dyDescent="0.55000000000000004">
      <c r="A154" s="42" t="s">
        <v>118</v>
      </c>
      <c r="B154" s="19" t="s">
        <v>133</v>
      </c>
      <c r="C154" s="13" t="s">
        <v>132</v>
      </c>
      <c r="D154" s="26">
        <v>2</v>
      </c>
      <c r="E154" s="13">
        <v>13354.349817745449</v>
      </c>
      <c r="F154" s="2">
        <f t="shared" si="3"/>
        <v>26708.699635490899</v>
      </c>
    </row>
    <row r="155" spans="1:6" x14ac:dyDescent="0.55000000000000004">
      <c r="A155" s="42" t="s">
        <v>118</v>
      </c>
      <c r="B155" s="19" t="s">
        <v>134</v>
      </c>
      <c r="C155" s="13" t="s">
        <v>132</v>
      </c>
      <c r="D155" s="26">
        <v>8</v>
      </c>
      <c r="E155" s="13">
        <v>628.44353545413003</v>
      </c>
      <c r="F155" s="2">
        <f t="shared" si="3"/>
        <v>5027.5482836330402</v>
      </c>
    </row>
    <row r="156" spans="1:6" x14ac:dyDescent="0.55000000000000004">
      <c r="A156" s="42" t="s">
        <v>118</v>
      </c>
      <c r="B156" s="19" t="s">
        <v>135</v>
      </c>
      <c r="C156" s="13" t="s">
        <v>88</v>
      </c>
      <c r="D156" s="26">
        <v>99</v>
      </c>
      <c r="E156" s="13">
        <v>39.286445980770395</v>
      </c>
      <c r="F156" s="2">
        <f t="shared" si="3"/>
        <v>3889.3581520962689</v>
      </c>
    </row>
    <row r="157" spans="1:6" x14ac:dyDescent="0.55000000000000004">
      <c r="A157" s="42" t="s">
        <v>118</v>
      </c>
      <c r="B157" s="19" t="s">
        <v>136</v>
      </c>
      <c r="C157" s="13" t="s">
        <v>88</v>
      </c>
      <c r="D157" s="26">
        <v>1</v>
      </c>
      <c r="E157" s="13">
        <v>157.11639439925079</v>
      </c>
      <c r="F157" s="2">
        <f t="shared" si="3"/>
        <v>157.11639439925079</v>
      </c>
    </row>
    <row r="158" spans="1:6" x14ac:dyDescent="0.55000000000000004">
      <c r="A158" s="42"/>
      <c r="B158" s="19"/>
      <c r="C158" s="13"/>
      <c r="D158" s="26"/>
      <c r="E158" s="13"/>
      <c r="F158" s="2"/>
    </row>
    <row r="159" spans="1:6" x14ac:dyDescent="0.55000000000000004">
      <c r="A159" s="42" t="s">
        <v>137</v>
      </c>
      <c r="B159" s="19" t="s">
        <v>137</v>
      </c>
      <c r="C159" s="13" t="s">
        <v>25</v>
      </c>
      <c r="D159" s="26">
        <v>1</v>
      </c>
      <c r="E159" s="13">
        <v>541758.28261910821</v>
      </c>
      <c r="F159" s="2">
        <f>D159*E159</f>
        <v>541758.28261910821</v>
      </c>
    </row>
    <row r="160" spans="1:6" x14ac:dyDescent="0.55000000000000004">
      <c r="A160" s="42"/>
      <c r="B160" s="19"/>
      <c r="C160" s="13"/>
      <c r="D160" s="26"/>
      <c r="E160" s="13"/>
      <c r="F160" s="2"/>
    </row>
    <row r="161" spans="1:6" x14ac:dyDescent="0.55000000000000004">
      <c r="A161" s="42" t="str">
        <f>B161</f>
        <v>MISCELLANEOUS</v>
      </c>
      <c r="B161" s="19" t="s">
        <v>138</v>
      </c>
      <c r="C161" s="13" t="s">
        <v>25</v>
      </c>
      <c r="D161" s="26">
        <v>1</v>
      </c>
      <c r="E161" s="13">
        <v>4176.2954206369504</v>
      </c>
      <c r="F161" s="2">
        <f>D161*E161</f>
        <v>4176.2954206369504</v>
      </c>
    </row>
    <row r="162" spans="1:6" x14ac:dyDescent="0.55000000000000004">
      <c r="A162" s="42"/>
      <c r="B162" s="19"/>
      <c r="C162" s="13"/>
      <c r="D162" s="26"/>
      <c r="E162" s="13"/>
      <c r="F162" s="2"/>
    </row>
    <row r="163" spans="1:6" x14ac:dyDescent="0.55000000000000004">
      <c r="A163" s="42" t="str">
        <f>B163</f>
        <v>TESTING &amp; COMMISSIONING</v>
      </c>
      <c r="B163" s="19" t="s">
        <v>139</v>
      </c>
      <c r="C163" s="13" t="s">
        <v>25</v>
      </c>
      <c r="D163" s="26">
        <v>1</v>
      </c>
      <c r="E163" s="13">
        <v>30338.467470971005</v>
      </c>
      <c r="F163" s="2">
        <f>D163*E163</f>
        <v>30338.467470971005</v>
      </c>
    </row>
    <row r="164" spans="1:6" x14ac:dyDescent="0.55000000000000004">
      <c r="A164" s="42"/>
      <c r="B164" s="19"/>
      <c r="C164" s="13"/>
      <c r="D164" s="26"/>
      <c r="E164" s="13"/>
      <c r="F164" s="2"/>
    </row>
    <row r="165" spans="1:6" x14ac:dyDescent="0.55000000000000004">
      <c r="A165" s="42" t="s">
        <v>140</v>
      </c>
      <c r="B165" s="19" t="s">
        <v>141</v>
      </c>
      <c r="C165" s="13"/>
      <c r="D165" s="26"/>
      <c r="E165" s="13"/>
      <c r="F165" s="2"/>
    </row>
    <row r="166" spans="1:6" x14ac:dyDescent="0.55000000000000004">
      <c r="A166" s="42" t="s">
        <v>141</v>
      </c>
      <c r="B166" s="19" t="s">
        <v>142</v>
      </c>
      <c r="C166" s="13" t="s">
        <v>57</v>
      </c>
      <c r="D166" s="26">
        <v>3</v>
      </c>
      <c r="E166" s="13">
        <v>466699.99774316826</v>
      </c>
      <c r="F166" s="2">
        <f>D166*E166</f>
        <v>1400099.9932295047</v>
      </c>
    </row>
    <row r="167" spans="1:6" ht="56.4" x14ac:dyDescent="0.55000000000000004">
      <c r="A167" s="42" t="s">
        <v>141</v>
      </c>
      <c r="B167" s="19" t="s">
        <v>143</v>
      </c>
      <c r="C167" s="13" t="s">
        <v>57</v>
      </c>
      <c r="D167" s="26">
        <v>10</v>
      </c>
      <c r="E167" s="13">
        <v>34692.657679355558</v>
      </c>
      <c r="F167" s="2">
        <f>D167*E167</f>
        <v>346926.57679355558</v>
      </c>
    </row>
    <row r="168" spans="1:6" ht="28.2" x14ac:dyDescent="0.55000000000000004">
      <c r="A168" s="42" t="s">
        <v>141</v>
      </c>
      <c r="B168" s="19" t="s">
        <v>144</v>
      </c>
      <c r="C168" s="13" t="s">
        <v>57</v>
      </c>
      <c r="D168" s="26">
        <v>2</v>
      </c>
      <c r="E168" s="13">
        <v>35407.780367219268</v>
      </c>
      <c r="F168" s="2">
        <f>D168*E168</f>
        <v>70815.560734438535</v>
      </c>
    </row>
    <row r="169" spans="1:6" ht="28.2" x14ac:dyDescent="0.55000000000000004">
      <c r="A169" s="42" t="s">
        <v>141</v>
      </c>
      <c r="B169" s="19" t="s">
        <v>145</v>
      </c>
      <c r="C169" s="13" t="s">
        <v>57</v>
      </c>
      <c r="D169" s="26">
        <v>1</v>
      </c>
      <c r="E169" s="13">
        <v>55124.68499309988</v>
      </c>
      <c r="F169" s="2">
        <f>D169*E169</f>
        <v>55124.68499309988</v>
      </c>
    </row>
    <row r="170" spans="1:6" x14ac:dyDescent="0.55000000000000004">
      <c r="A170" s="42"/>
      <c r="B170" s="19"/>
      <c r="C170" s="13"/>
      <c r="D170" s="26"/>
      <c r="E170" s="13"/>
      <c r="F170" s="2"/>
    </row>
    <row r="171" spans="1:6" x14ac:dyDescent="0.55000000000000004">
      <c r="A171" s="42"/>
      <c r="B171" s="19" t="s">
        <v>61</v>
      </c>
      <c r="C171" s="13"/>
      <c r="D171" s="26"/>
      <c r="E171" s="13"/>
      <c r="F171" s="2"/>
    </row>
    <row r="172" spans="1:6" x14ac:dyDescent="0.55000000000000004">
      <c r="A172" s="42" t="s">
        <v>62</v>
      </c>
      <c r="B172" s="19" t="s">
        <v>146</v>
      </c>
      <c r="C172" s="13" t="s">
        <v>57</v>
      </c>
      <c r="D172" s="26">
        <v>13</v>
      </c>
      <c r="E172" s="13">
        <v>7406.6134437195651</v>
      </c>
      <c r="F172" s="2">
        <f t="shared" ref="F172:F179" si="4">D172*E172</f>
        <v>96285.974768354354</v>
      </c>
    </row>
    <row r="173" spans="1:6" x14ac:dyDescent="0.55000000000000004">
      <c r="A173" s="42" t="s">
        <v>62</v>
      </c>
      <c r="B173" s="19" t="s">
        <v>64</v>
      </c>
      <c r="C173" s="13" t="s">
        <v>57</v>
      </c>
      <c r="D173" s="26">
        <v>1</v>
      </c>
      <c r="E173" s="13">
        <v>14072.566802618196</v>
      </c>
      <c r="F173" s="2">
        <f t="shared" si="4"/>
        <v>14072.566802618196</v>
      </c>
    </row>
    <row r="174" spans="1:6" x14ac:dyDescent="0.55000000000000004">
      <c r="A174" s="42" t="s">
        <v>62</v>
      </c>
      <c r="B174" s="19" t="s">
        <v>65</v>
      </c>
      <c r="C174" s="13" t="s">
        <v>57</v>
      </c>
      <c r="D174" s="26">
        <v>6</v>
      </c>
      <c r="E174" s="13">
        <v>2740.4492413680773</v>
      </c>
      <c r="F174" s="2">
        <f t="shared" si="4"/>
        <v>16442.695448208462</v>
      </c>
    </row>
    <row r="175" spans="1:6" x14ac:dyDescent="0.55000000000000004">
      <c r="A175" s="42" t="s">
        <v>62</v>
      </c>
      <c r="B175" s="19" t="s">
        <v>66</v>
      </c>
      <c r="C175" s="13" t="s">
        <v>57</v>
      </c>
      <c r="D175" s="26">
        <v>1</v>
      </c>
      <c r="E175" s="13">
        <v>3110.7824326560985</v>
      </c>
      <c r="F175" s="2">
        <f t="shared" si="4"/>
        <v>3110.7824326560985</v>
      </c>
    </row>
    <row r="176" spans="1:6" x14ac:dyDescent="0.55000000000000004">
      <c r="A176" s="42" t="s">
        <v>62</v>
      </c>
      <c r="B176" s="19" t="s">
        <v>147</v>
      </c>
      <c r="C176" s="13" t="s">
        <v>57</v>
      </c>
      <c r="D176" s="26">
        <v>3</v>
      </c>
      <c r="E176" s="13">
        <v>5184.6331892567596</v>
      </c>
      <c r="F176" s="2">
        <f t="shared" si="4"/>
        <v>15553.899567770279</v>
      </c>
    </row>
    <row r="177" spans="1:6" x14ac:dyDescent="0.55000000000000004">
      <c r="A177" s="42" t="s">
        <v>62</v>
      </c>
      <c r="B177" s="19" t="s">
        <v>148</v>
      </c>
      <c r="C177" s="13" t="s">
        <v>57</v>
      </c>
      <c r="D177" s="26">
        <v>2</v>
      </c>
      <c r="E177" s="13">
        <v>8887.9399111165403</v>
      </c>
      <c r="F177" s="2">
        <f t="shared" si="4"/>
        <v>17775.879822233081</v>
      </c>
    </row>
    <row r="178" spans="1:6" x14ac:dyDescent="0.55000000000000004">
      <c r="A178" s="42" t="s">
        <v>62</v>
      </c>
      <c r="B178" s="19" t="s">
        <v>69</v>
      </c>
      <c r="C178" s="13" t="s">
        <v>57</v>
      </c>
      <c r="D178" s="26">
        <v>2</v>
      </c>
      <c r="E178" s="13">
        <v>3777.3746196684078</v>
      </c>
      <c r="F178" s="2">
        <f t="shared" si="4"/>
        <v>7554.7492393368157</v>
      </c>
    </row>
    <row r="179" spans="1:6" x14ac:dyDescent="0.55000000000000004">
      <c r="A179" s="42" t="s">
        <v>62</v>
      </c>
      <c r="B179" s="19" t="s">
        <v>70</v>
      </c>
      <c r="C179" s="13" t="s">
        <v>57</v>
      </c>
      <c r="D179" s="26">
        <v>1</v>
      </c>
      <c r="E179" s="13">
        <v>25034.344874825183</v>
      </c>
      <c r="F179" s="2">
        <f t="shared" si="4"/>
        <v>25034.344874825183</v>
      </c>
    </row>
    <row r="180" spans="1:6" x14ac:dyDescent="0.55000000000000004">
      <c r="A180" s="42"/>
      <c r="B180" s="19"/>
      <c r="C180" s="13"/>
      <c r="D180" s="26"/>
      <c r="E180" s="13"/>
      <c r="F180" s="2"/>
    </row>
    <row r="181" spans="1:6" x14ac:dyDescent="0.55000000000000004">
      <c r="A181" s="42"/>
      <c r="B181" s="19" t="s">
        <v>71</v>
      </c>
      <c r="C181" s="13"/>
      <c r="D181" s="26"/>
      <c r="E181" s="13"/>
      <c r="F181" s="2"/>
    </row>
    <row r="182" spans="1:6" x14ac:dyDescent="0.55000000000000004">
      <c r="A182" s="42" t="s">
        <v>71</v>
      </c>
      <c r="B182" s="19" t="s">
        <v>72</v>
      </c>
      <c r="C182" s="13" t="s">
        <v>73</v>
      </c>
      <c r="D182" s="26">
        <v>14</v>
      </c>
      <c r="E182" s="13">
        <v>1335.3319085159671</v>
      </c>
      <c r="F182" s="2">
        <f t="shared" ref="F182:F190" si="5">D182*E182</f>
        <v>18694.64671922354</v>
      </c>
    </row>
    <row r="183" spans="1:6" x14ac:dyDescent="0.55000000000000004">
      <c r="A183" s="42" t="s">
        <v>71</v>
      </c>
      <c r="B183" s="19" t="s">
        <v>74</v>
      </c>
      <c r="C183" s="13" t="s">
        <v>73</v>
      </c>
      <c r="D183" s="26">
        <v>11</v>
      </c>
      <c r="E183" s="13">
        <v>1859.3177288946133</v>
      </c>
      <c r="F183" s="2">
        <f t="shared" si="5"/>
        <v>20452.495017840745</v>
      </c>
    </row>
    <row r="184" spans="1:6" x14ac:dyDescent="0.55000000000000004">
      <c r="A184" s="42" t="s">
        <v>71</v>
      </c>
      <c r="B184" s="19" t="s">
        <v>75</v>
      </c>
      <c r="C184" s="13" t="s">
        <v>73</v>
      </c>
      <c r="D184" s="26">
        <v>15</v>
      </c>
      <c r="E184" s="13">
        <v>2958.0051915252889</v>
      </c>
      <c r="F184" s="2">
        <f t="shared" si="5"/>
        <v>44370.07787287933</v>
      </c>
    </row>
    <row r="185" spans="1:6" x14ac:dyDescent="0.55000000000000004">
      <c r="A185" s="42" t="s">
        <v>71</v>
      </c>
      <c r="B185" s="19" t="s">
        <v>76</v>
      </c>
      <c r="C185" s="13" t="s">
        <v>73</v>
      </c>
      <c r="D185" s="26">
        <v>12</v>
      </c>
      <c r="E185" s="13">
        <v>4267.3273714510315</v>
      </c>
      <c r="F185" s="2">
        <f t="shared" si="5"/>
        <v>51207.928457412374</v>
      </c>
    </row>
    <row r="186" spans="1:6" x14ac:dyDescent="0.55000000000000004">
      <c r="A186" s="42" t="s">
        <v>71</v>
      </c>
      <c r="B186" s="19" t="s">
        <v>77</v>
      </c>
      <c r="C186" s="13" t="s">
        <v>73</v>
      </c>
      <c r="D186" s="26">
        <v>13</v>
      </c>
      <c r="E186" s="13">
        <v>5442.7277890351015</v>
      </c>
      <c r="F186" s="2">
        <f t="shared" si="5"/>
        <v>70755.461257456322</v>
      </c>
    </row>
    <row r="187" spans="1:6" x14ac:dyDescent="0.55000000000000004">
      <c r="A187" s="42" t="s">
        <v>71</v>
      </c>
      <c r="B187" s="19" t="s">
        <v>78</v>
      </c>
      <c r="C187" s="13" t="s">
        <v>73</v>
      </c>
      <c r="D187" s="26">
        <v>1</v>
      </c>
      <c r="E187" s="13">
        <v>6845.6660986203315</v>
      </c>
      <c r="F187" s="2">
        <f t="shared" si="5"/>
        <v>6845.6660986203315</v>
      </c>
    </row>
    <row r="188" spans="1:6" x14ac:dyDescent="0.55000000000000004">
      <c r="A188" s="42" t="s">
        <v>71</v>
      </c>
      <c r="B188" s="19" t="s">
        <v>79</v>
      </c>
      <c r="C188" s="13" t="s">
        <v>73</v>
      </c>
      <c r="D188" s="26">
        <v>5</v>
      </c>
      <c r="E188" s="13">
        <v>9803.6649923905134</v>
      </c>
      <c r="F188" s="2">
        <f t="shared" si="5"/>
        <v>49018.324961952567</v>
      </c>
    </row>
    <row r="189" spans="1:6" x14ac:dyDescent="0.55000000000000004">
      <c r="A189" s="42" t="s">
        <v>71</v>
      </c>
      <c r="B189" s="19" t="s">
        <v>80</v>
      </c>
      <c r="C189" s="13" t="s">
        <v>73</v>
      </c>
      <c r="D189" s="26">
        <v>1</v>
      </c>
      <c r="E189" s="13">
        <v>17028.984959856618</v>
      </c>
      <c r="F189" s="2">
        <f t="shared" si="5"/>
        <v>17028.984959856618</v>
      </c>
    </row>
    <row r="190" spans="1:6" x14ac:dyDescent="0.55000000000000004">
      <c r="A190" s="42" t="s">
        <v>71</v>
      </c>
      <c r="B190" s="19" t="s">
        <v>81</v>
      </c>
      <c r="C190" s="13" t="s">
        <v>73</v>
      </c>
      <c r="D190" s="26">
        <v>12</v>
      </c>
      <c r="E190" s="13">
        <v>17028.984959856622</v>
      </c>
      <c r="F190" s="2">
        <f t="shared" si="5"/>
        <v>204347.81951827946</v>
      </c>
    </row>
    <row r="191" spans="1:6" x14ac:dyDescent="0.55000000000000004">
      <c r="A191" s="43"/>
      <c r="B191" s="19"/>
      <c r="C191" s="13"/>
      <c r="D191" s="26"/>
      <c r="E191" s="13"/>
      <c r="F191" s="2"/>
    </row>
    <row r="192" spans="1:6" x14ac:dyDescent="0.55000000000000004">
      <c r="A192" s="42"/>
      <c r="B192" s="19" t="s">
        <v>82</v>
      </c>
      <c r="C192" s="13"/>
      <c r="D192" s="26"/>
      <c r="E192" s="13"/>
      <c r="F192" s="2"/>
    </row>
    <row r="193" spans="1:6" x14ac:dyDescent="0.55000000000000004">
      <c r="A193" s="42" t="s">
        <v>82</v>
      </c>
      <c r="B193" s="19" t="s">
        <v>72</v>
      </c>
      <c r="C193" s="13" t="s">
        <v>73</v>
      </c>
      <c r="D193" s="26">
        <v>27</v>
      </c>
      <c r="E193" s="13">
        <v>273.05176815649821</v>
      </c>
      <c r="F193" s="2">
        <f t="shared" ref="F193:F201" si="6">D193*E193</f>
        <v>7372.3977402254513</v>
      </c>
    </row>
    <row r="194" spans="1:6" x14ac:dyDescent="0.55000000000000004">
      <c r="A194" s="42" t="s">
        <v>82</v>
      </c>
      <c r="B194" s="19" t="s">
        <v>74</v>
      </c>
      <c r="C194" s="13" t="s">
        <v>73</v>
      </c>
      <c r="D194" s="26">
        <v>21</v>
      </c>
      <c r="E194" s="13">
        <v>278.25371387454294</v>
      </c>
      <c r="F194" s="2">
        <f t="shared" si="6"/>
        <v>5843.3279913654014</v>
      </c>
    </row>
    <row r="195" spans="1:6" x14ac:dyDescent="0.55000000000000004">
      <c r="A195" s="42" t="s">
        <v>82</v>
      </c>
      <c r="B195" s="19" t="s">
        <v>75</v>
      </c>
      <c r="C195" s="13" t="s">
        <v>73</v>
      </c>
      <c r="D195" s="26">
        <v>30</v>
      </c>
      <c r="E195" s="13">
        <v>325.05862982673278</v>
      </c>
      <c r="F195" s="2">
        <f t="shared" si="6"/>
        <v>9751.7588948019838</v>
      </c>
    </row>
    <row r="196" spans="1:6" x14ac:dyDescent="0.55000000000000004">
      <c r="A196" s="42" t="s">
        <v>82</v>
      </c>
      <c r="B196" s="19" t="s">
        <v>76</v>
      </c>
      <c r="C196" s="13" t="s">
        <v>73</v>
      </c>
      <c r="D196" s="26">
        <v>24</v>
      </c>
      <c r="E196" s="13">
        <v>396.57593681718868</v>
      </c>
      <c r="F196" s="2">
        <f t="shared" si="6"/>
        <v>9517.8224836125282</v>
      </c>
    </row>
    <row r="197" spans="1:6" x14ac:dyDescent="0.55000000000000004">
      <c r="A197" s="42" t="s">
        <v>82</v>
      </c>
      <c r="B197" s="19" t="s">
        <v>77</v>
      </c>
      <c r="C197" s="13" t="s">
        <v>73</v>
      </c>
      <c r="D197" s="26">
        <v>26</v>
      </c>
      <c r="E197" s="13">
        <v>445.98182562840083</v>
      </c>
      <c r="F197" s="2">
        <f t="shared" si="6"/>
        <v>11595.527466338421</v>
      </c>
    </row>
    <row r="198" spans="1:6" x14ac:dyDescent="0.55000000000000004">
      <c r="A198" s="42" t="s">
        <v>82</v>
      </c>
      <c r="B198" s="19" t="s">
        <v>78</v>
      </c>
      <c r="C198" s="13" t="s">
        <v>73</v>
      </c>
      <c r="D198" s="26">
        <v>2</v>
      </c>
      <c r="E198" s="13">
        <v>494.09037688765517</v>
      </c>
      <c r="F198" s="2">
        <f t="shared" si="6"/>
        <v>988.18075377531034</v>
      </c>
    </row>
    <row r="199" spans="1:6" x14ac:dyDescent="0.55000000000000004">
      <c r="A199" s="42" t="s">
        <v>82</v>
      </c>
      <c r="B199" s="19" t="s">
        <v>79</v>
      </c>
      <c r="C199" s="13" t="s">
        <v>73</v>
      </c>
      <c r="D199" s="26">
        <v>9</v>
      </c>
      <c r="E199" s="13">
        <v>533.0986720178845</v>
      </c>
      <c r="F199" s="2">
        <f t="shared" si="6"/>
        <v>4797.8880481609604</v>
      </c>
    </row>
    <row r="200" spans="1:6" x14ac:dyDescent="0.55000000000000004">
      <c r="A200" s="42" t="s">
        <v>82</v>
      </c>
      <c r="B200" s="19" t="s">
        <v>80</v>
      </c>
      <c r="C200" s="13" t="s">
        <v>73</v>
      </c>
      <c r="D200" s="26">
        <v>2</v>
      </c>
      <c r="E200" s="13">
        <v>637.11869311346027</v>
      </c>
      <c r="F200" s="2">
        <f t="shared" si="6"/>
        <v>1274.2373862269205</v>
      </c>
    </row>
    <row r="201" spans="1:6" x14ac:dyDescent="0.55000000000000004">
      <c r="A201" s="42" t="s">
        <v>82</v>
      </c>
      <c r="B201" s="19" t="s">
        <v>81</v>
      </c>
      <c r="C201" s="13" t="s">
        <v>73</v>
      </c>
      <c r="D201" s="26">
        <v>24</v>
      </c>
      <c r="E201" s="13">
        <v>637.11869311346027</v>
      </c>
      <c r="F201" s="2">
        <f t="shared" si="6"/>
        <v>15290.848634723046</v>
      </c>
    </row>
    <row r="202" spans="1:6" x14ac:dyDescent="0.55000000000000004">
      <c r="A202" s="43"/>
      <c r="B202" s="19"/>
      <c r="C202" s="13"/>
      <c r="D202" s="26"/>
      <c r="E202" s="13"/>
      <c r="F202" s="2"/>
    </row>
    <row r="203" spans="1:6" x14ac:dyDescent="0.55000000000000004">
      <c r="A203" s="42" t="s">
        <v>83</v>
      </c>
      <c r="B203" s="19" t="s">
        <v>83</v>
      </c>
      <c r="C203" s="13" t="s">
        <v>25</v>
      </c>
      <c r="D203" s="26">
        <v>1</v>
      </c>
      <c r="E203" s="13">
        <v>55252.384573396237</v>
      </c>
      <c r="F203" s="2">
        <f>D203*E203</f>
        <v>55252.384573396237</v>
      </c>
    </row>
    <row r="204" spans="1:6" x14ac:dyDescent="0.55000000000000004">
      <c r="A204" s="42"/>
      <c r="B204" s="19"/>
      <c r="C204" s="13"/>
      <c r="D204" s="26"/>
      <c r="E204" s="13"/>
      <c r="F204" s="2"/>
    </row>
    <row r="205" spans="1:6" x14ac:dyDescent="0.55000000000000004">
      <c r="A205" s="42" t="s">
        <v>84</v>
      </c>
      <c r="B205" s="19" t="s">
        <v>84</v>
      </c>
      <c r="C205" s="13" t="s">
        <v>85</v>
      </c>
      <c r="D205" s="26">
        <v>26</v>
      </c>
      <c r="E205" s="13">
        <v>2019.9923549290882</v>
      </c>
      <c r="F205" s="2">
        <f>D205*E205</f>
        <v>52519.801228156291</v>
      </c>
    </row>
    <row r="206" spans="1:6" x14ac:dyDescent="0.55000000000000004">
      <c r="A206" s="42"/>
      <c r="B206" s="19"/>
      <c r="C206" s="13"/>
      <c r="D206" s="26"/>
      <c r="E206" s="13"/>
      <c r="F206" s="2"/>
    </row>
    <row r="207" spans="1:6" x14ac:dyDescent="0.55000000000000004">
      <c r="A207" s="42" t="s">
        <v>86</v>
      </c>
      <c r="B207" s="19" t="s">
        <v>86</v>
      </c>
      <c r="C207" s="13" t="s">
        <v>25</v>
      </c>
      <c r="D207" s="26">
        <v>1</v>
      </c>
      <c r="E207" s="13">
        <v>5186.0564819108486</v>
      </c>
      <c r="F207" s="2">
        <f>D207*E207</f>
        <v>5186.0564819108486</v>
      </c>
    </row>
    <row r="208" spans="1:6" x14ac:dyDescent="0.55000000000000004">
      <c r="A208" s="42"/>
      <c r="B208" s="19"/>
      <c r="C208" s="13"/>
      <c r="D208" s="26"/>
      <c r="E208" s="13"/>
      <c r="F208" s="2"/>
    </row>
    <row r="209" spans="1:6" x14ac:dyDescent="0.55000000000000004">
      <c r="A209" s="42" t="s">
        <v>87</v>
      </c>
      <c r="B209" s="19" t="s">
        <v>87</v>
      </c>
      <c r="C209" s="13" t="s">
        <v>88</v>
      </c>
      <c r="D209" s="26">
        <v>3</v>
      </c>
      <c r="E209" s="13">
        <v>6059.9581715219456</v>
      </c>
      <c r="F209" s="2">
        <f>D209*E209</f>
        <v>18179.874514565836</v>
      </c>
    </row>
    <row r="210" spans="1:6" x14ac:dyDescent="0.55000000000000004">
      <c r="A210" s="43"/>
      <c r="B210" s="19"/>
      <c r="C210" s="13"/>
      <c r="D210" s="26"/>
      <c r="E210" s="13"/>
      <c r="F210" s="2"/>
    </row>
    <row r="211" spans="1:6" x14ac:dyDescent="0.55000000000000004">
      <c r="A211" s="42"/>
      <c r="B211" s="19" t="s">
        <v>89</v>
      </c>
      <c r="C211" s="13"/>
      <c r="D211" s="26"/>
      <c r="E211" s="13"/>
      <c r="F211" s="2"/>
    </row>
    <row r="212" spans="1:6" x14ac:dyDescent="0.55000000000000004">
      <c r="A212" s="42" t="s">
        <v>89</v>
      </c>
      <c r="B212" s="19" t="s">
        <v>90</v>
      </c>
      <c r="C212" s="13" t="s">
        <v>73</v>
      </c>
      <c r="D212" s="26">
        <v>37</v>
      </c>
      <c r="E212" s="13">
        <v>254.52377263290526</v>
      </c>
      <c r="F212" s="2">
        <f>D212*E212</f>
        <v>9417.3795874174939</v>
      </c>
    </row>
    <row r="213" spans="1:6" x14ac:dyDescent="0.55000000000000004">
      <c r="A213" s="42" t="s">
        <v>89</v>
      </c>
      <c r="B213" s="19" t="s">
        <v>91</v>
      </c>
      <c r="C213" s="13" t="s">
        <v>73</v>
      </c>
      <c r="D213" s="26">
        <v>24</v>
      </c>
      <c r="E213" s="13">
        <v>404.20881600637779</v>
      </c>
      <c r="F213" s="2">
        <f>D213*E213</f>
        <v>9701.0115841530678</v>
      </c>
    </row>
    <row r="214" spans="1:6" x14ac:dyDescent="0.55000000000000004">
      <c r="A214" s="43"/>
      <c r="B214" s="19"/>
      <c r="C214" s="13"/>
      <c r="D214" s="26"/>
      <c r="E214" s="13"/>
      <c r="F214" s="2"/>
    </row>
    <row r="215" spans="1:6" x14ac:dyDescent="0.55000000000000004">
      <c r="A215" s="42"/>
      <c r="B215" s="19" t="s">
        <v>92</v>
      </c>
      <c r="C215" s="13"/>
      <c r="D215" s="26"/>
      <c r="E215" s="13"/>
      <c r="F215" s="2"/>
    </row>
    <row r="216" spans="1:6" x14ac:dyDescent="0.55000000000000004">
      <c r="A216" s="42" t="s">
        <v>92</v>
      </c>
      <c r="B216" s="19" t="s">
        <v>93</v>
      </c>
      <c r="C216" s="13" t="s">
        <v>73</v>
      </c>
      <c r="D216" s="26">
        <v>74</v>
      </c>
      <c r="E216" s="13">
        <v>269.33609264360905</v>
      </c>
      <c r="F216" s="2">
        <f>D216*E216</f>
        <v>19930.870855627069</v>
      </c>
    </row>
    <row r="217" spans="1:6" x14ac:dyDescent="0.55000000000000004">
      <c r="A217" s="42" t="s">
        <v>92</v>
      </c>
      <c r="B217" s="19" t="s">
        <v>94</v>
      </c>
      <c r="C217" s="13" t="s">
        <v>73</v>
      </c>
      <c r="D217" s="26">
        <v>48</v>
      </c>
      <c r="E217" s="13">
        <v>511.73668669632514</v>
      </c>
      <c r="F217" s="2">
        <f>D217*E217</f>
        <v>24563.360961423605</v>
      </c>
    </row>
    <row r="218" spans="1:6" x14ac:dyDescent="0.55000000000000004">
      <c r="A218" s="43"/>
      <c r="B218" s="19"/>
      <c r="C218" s="13"/>
      <c r="D218" s="26"/>
      <c r="E218" s="13"/>
      <c r="F218" s="2"/>
    </row>
    <row r="219" spans="1:6" x14ac:dyDescent="0.55000000000000004">
      <c r="A219" s="42"/>
      <c r="B219" s="19" t="s">
        <v>95</v>
      </c>
      <c r="C219" s="13"/>
      <c r="D219" s="26"/>
      <c r="E219" s="13"/>
      <c r="F219" s="2"/>
    </row>
    <row r="220" spans="1:6" x14ac:dyDescent="0.55000000000000004">
      <c r="A220" s="42" t="s">
        <v>96</v>
      </c>
      <c r="B220" s="19" t="s">
        <v>96</v>
      </c>
      <c r="C220" s="13" t="s">
        <v>88</v>
      </c>
      <c r="D220" s="26">
        <v>12</v>
      </c>
      <c r="E220" s="13">
        <v>19191.249900398725</v>
      </c>
      <c r="F220" s="2">
        <f>D220*E220</f>
        <v>230294.9988047847</v>
      </c>
    </row>
    <row r="221" spans="1:6" x14ac:dyDescent="0.55000000000000004">
      <c r="A221" s="43"/>
      <c r="B221" s="19"/>
      <c r="C221" s="13"/>
      <c r="D221" s="26"/>
      <c r="E221" s="13"/>
      <c r="F221" s="2"/>
    </row>
    <row r="222" spans="1:6" x14ac:dyDescent="0.55000000000000004">
      <c r="A222" s="42"/>
      <c r="B222" s="19" t="s">
        <v>97</v>
      </c>
      <c r="C222" s="13"/>
      <c r="D222" s="26"/>
      <c r="E222" s="13"/>
      <c r="F222" s="2"/>
    </row>
    <row r="223" spans="1:6" x14ac:dyDescent="0.55000000000000004">
      <c r="A223" s="42" t="s">
        <v>97</v>
      </c>
      <c r="B223" s="19" t="s">
        <v>149</v>
      </c>
      <c r="C223" s="13" t="s">
        <v>88</v>
      </c>
      <c r="D223" s="26">
        <v>3</v>
      </c>
      <c r="E223" s="13">
        <v>134.67119519935784</v>
      </c>
      <c r="F223" s="2">
        <f>D223*E223</f>
        <v>404.01358559807352</v>
      </c>
    </row>
    <row r="224" spans="1:6" x14ac:dyDescent="0.55000000000000004">
      <c r="A224" s="42" t="s">
        <v>97</v>
      </c>
      <c r="B224" s="19" t="s">
        <v>98</v>
      </c>
      <c r="C224" s="13" t="s">
        <v>88</v>
      </c>
      <c r="D224" s="26">
        <v>13</v>
      </c>
      <c r="E224" s="13">
        <v>121.20659478146467</v>
      </c>
      <c r="F224" s="2">
        <f>D224*E224</f>
        <v>1575.6857321590408</v>
      </c>
    </row>
    <row r="225" spans="1:6" x14ac:dyDescent="0.55000000000000004">
      <c r="A225" s="42" t="s">
        <v>97</v>
      </c>
      <c r="B225" s="19" t="s">
        <v>99</v>
      </c>
      <c r="C225" s="13" t="s">
        <v>88</v>
      </c>
      <c r="D225" s="26">
        <v>3</v>
      </c>
      <c r="E225" s="13">
        <v>33.674096554946054</v>
      </c>
      <c r="F225" s="2">
        <f>D225*E225</f>
        <v>101.02228966483815</v>
      </c>
    </row>
    <row r="226" spans="1:6" x14ac:dyDescent="0.55000000000000004">
      <c r="A226" s="42" t="s">
        <v>97</v>
      </c>
      <c r="B226" s="19" t="s">
        <v>101</v>
      </c>
      <c r="C226" s="13" t="s">
        <v>88</v>
      </c>
      <c r="D226" s="26">
        <v>6</v>
      </c>
      <c r="E226" s="13">
        <v>27.47710553005977</v>
      </c>
      <c r="F226" s="2">
        <f>D226*E226</f>
        <v>164.86263318035861</v>
      </c>
    </row>
    <row r="227" spans="1:6" x14ac:dyDescent="0.55000000000000004">
      <c r="A227" s="42" t="s">
        <v>97</v>
      </c>
      <c r="B227" s="19" t="s">
        <v>102</v>
      </c>
      <c r="C227" s="13" t="s">
        <v>88</v>
      </c>
      <c r="D227" s="26">
        <v>4</v>
      </c>
      <c r="E227" s="13">
        <v>134.67119519935784</v>
      </c>
      <c r="F227" s="2">
        <f>D227*E227</f>
        <v>538.68478079743136</v>
      </c>
    </row>
    <row r="228" spans="1:6" x14ac:dyDescent="0.55000000000000004">
      <c r="A228" s="43"/>
      <c r="B228" s="19"/>
      <c r="C228" s="13"/>
      <c r="D228" s="26"/>
      <c r="E228" s="13"/>
      <c r="F228" s="2"/>
    </row>
    <row r="229" spans="1:6" x14ac:dyDescent="0.55000000000000004">
      <c r="A229" s="42"/>
      <c r="B229" s="19" t="s">
        <v>103</v>
      </c>
      <c r="C229" s="13"/>
      <c r="D229" s="26"/>
      <c r="E229" s="13"/>
      <c r="F229" s="2"/>
    </row>
    <row r="230" spans="1:6" x14ac:dyDescent="0.55000000000000004">
      <c r="A230" s="42"/>
      <c r="B230" s="19" t="s">
        <v>104</v>
      </c>
      <c r="C230" s="13"/>
      <c r="D230" s="26"/>
      <c r="E230" s="13"/>
      <c r="F230" s="2"/>
    </row>
    <row r="231" spans="1:6" x14ac:dyDescent="0.55000000000000004">
      <c r="A231" s="42" t="s">
        <v>104</v>
      </c>
      <c r="B231" s="19" t="s">
        <v>105</v>
      </c>
      <c r="C231" s="13" t="s">
        <v>106</v>
      </c>
      <c r="D231" s="26">
        <v>78</v>
      </c>
      <c r="E231" s="13">
        <v>254.52377263290526</v>
      </c>
      <c r="F231" s="2">
        <f>D231*E231</f>
        <v>19852.854265366612</v>
      </c>
    </row>
    <row r="232" spans="1:6" x14ac:dyDescent="0.55000000000000004">
      <c r="A232" s="42" t="s">
        <v>104</v>
      </c>
      <c r="B232" s="19" t="s">
        <v>150</v>
      </c>
      <c r="C232" s="13" t="s">
        <v>106</v>
      </c>
      <c r="D232" s="26">
        <v>673</v>
      </c>
      <c r="E232" s="13">
        <v>41.483312887119808</v>
      </c>
      <c r="F232" s="2">
        <f>D232*E232</f>
        <v>27918.26957303163</v>
      </c>
    </row>
    <row r="233" spans="1:6" x14ac:dyDescent="0.55000000000000004">
      <c r="A233" s="42" t="s">
        <v>104</v>
      </c>
      <c r="B233" s="19" t="s">
        <v>108</v>
      </c>
      <c r="C233" s="13" t="s">
        <v>88</v>
      </c>
      <c r="D233" s="26">
        <v>34</v>
      </c>
      <c r="E233" s="13">
        <v>20.209496137052906</v>
      </c>
      <c r="F233" s="2">
        <f>D233*E233</f>
        <v>687.12286865979877</v>
      </c>
    </row>
    <row r="234" spans="1:6" x14ac:dyDescent="0.55000000000000004">
      <c r="A234" s="43"/>
      <c r="B234" s="19" t="s">
        <v>109</v>
      </c>
      <c r="C234" s="13"/>
      <c r="D234" s="26"/>
      <c r="E234" s="13"/>
      <c r="F234" s="2"/>
    </row>
    <row r="235" spans="1:6" x14ac:dyDescent="0.55000000000000004">
      <c r="A235" s="42" t="s">
        <v>109</v>
      </c>
      <c r="B235" s="19" t="s">
        <v>110</v>
      </c>
      <c r="C235" s="13" t="s">
        <v>106</v>
      </c>
      <c r="D235" s="26">
        <v>482</v>
      </c>
      <c r="E235" s="13">
        <v>50.911052281687645</v>
      </c>
      <c r="F235" s="2">
        <f>D235*E235</f>
        <v>24539.127199773444</v>
      </c>
    </row>
    <row r="236" spans="1:6" x14ac:dyDescent="0.55000000000000004">
      <c r="A236" s="42" t="s">
        <v>109</v>
      </c>
      <c r="B236" s="19" t="s">
        <v>111</v>
      </c>
      <c r="C236" s="13" t="s">
        <v>106</v>
      </c>
      <c r="D236" s="26">
        <v>94</v>
      </c>
      <c r="E236" s="13">
        <v>49.424782076531997</v>
      </c>
      <c r="F236" s="2">
        <f>D236*E236</f>
        <v>4645.9295151940078</v>
      </c>
    </row>
    <row r="237" spans="1:6" x14ac:dyDescent="0.55000000000000004">
      <c r="A237" s="42" t="s">
        <v>109</v>
      </c>
      <c r="B237" s="19" t="s">
        <v>112</v>
      </c>
      <c r="C237" s="13" t="s">
        <v>106</v>
      </c>
      <c r="D237" s="26">
        <v>13</v>
      </c>
      <c r="E237" s="13">
        <v>72.946897399652173</v>
      </c>
      <c r="F237" s="2">
        <f>D237*E237</f>
        <v>948.30966619547826</v>
      </c>
    </row>
    <row r="238" spans="1:6" x14ac:dyDescent="0.55000000000000004">
      <c r="A238" s="42" t="s">
        <v>109</v>
      </c>
      <c r="B238" s="19" t="s">
        <v>113</v>
      </c>
      <c r="C238" s="13" t="s">
        <v>106</v>
      </c>
      <c r="D238" s="26">
        <v>59</v>
      </c>
      <c r="E238" s="13">
        <v>497.18887240009838</v>
      </c>
      <c r="F238" s="2">
        <f>D238*E238</f>
        <v>29334.143471605803</v>
      </c>
    </row>
    <row r="239" spans="1:6" x14ac:dyDescent="0.55000000000000004">
      <c r="A239" s="43"/>
      <c r="B239" s="19" t="s">
        <v>114</v>
      </c>
      <c r="C239" s="13"/>
      <c r="D239" s="26"/>
      <c r="E239" s="13"/>
      <c r="F239" s="2"/>
    </row>
    <row r="240" spans="1:6" x14ac:dyDescent="0.55000000000000004">
      <c r="A240" s="42" t="s">
        <v>109</v>
      </c>
      <c r="B240" s="19" t="s">
        <v>115</v>
      </c>
      <c r="C240" s="13" t="s">
        <v>106</v>
      </c>
      <c r="D240" s="26">
        <v>85</v>
      </c>
      <c r="E240" s="13">
        <v>49.424782076531997</v>
      </c>
      <c r="F240" s="2">
        <f>D240*E240</f>
        <v>4201.1064765052197</v>
      </c>
    </row>
    <row r="241" spans="1:6" x14ac:dyDescent="0.55000000000000004">
      <c r="A241" s="42" t="s">
        <v>109</v>
      </c>
      <c r="B241" s="19" t="s">
        <v>116</v>
      </c>
      <c r="C241" s="13" t="s">
        <v>106</v>
      </c>
      <c r="D241" s="26">
        <v>20</v>
      </c>
      <c r="E241" s="13">
        <v>118.32222294264567</v>
      </c>
      <c r="F241" s="2">
        <f>D241*E241</f>
        <v>2366.4444588529132</v>
      </c>
    </row>
    <row r="242" spans="1:6" x14ac:dyDescent="0.55000000000000004">
      <c r="A242" s="43"/>
      <c r="B242" s="19"/>
      <c r="C242" s="13"/>
      <c r="D242" s="26"/>
      <c r="E242" s="13"/>
      <c r="F242" s="2"/>
    </row>
    <row r="243" spans="1:6" x14ac:dyDescent="0.55000000000000004">
      <c r="A243" s="42"/>
      <c r="B243" s="19" t="s">
        <v>118</v>
      </c>
      <c r="C243" s="13"/>
      <c r="D243" s="26"/>
      <c r="E243" s="13"/>
      <c r="F243" s="2"/>
    </row>
    <row r="244" spans="1:6" x14ac:dyDescent="0.55000000000000004">
      <c r="A244" s="42" t="s">
        <v>118</v>
      </c>
      <c r="B244" s="19" t="s">
        <v>119</v>
      </c>
      <c r="C244" s="13" t="s">
        <v>88</v>
      </c>
      <c r="D244" s="26">
        <v>11</v>
      </c>
      <c r="E244" s="13">
        <v>1021.2198266903415</v>
      </c>
      <c r="F244" s="2">
        <f t="shared" ref="F244:F257" si="7">D244*E244</f>
        <v>11233.418093593757</v>
      </c>
    </row>
    <row r="245" spans="1:6" x14ac:dyDescent="0.55000000000000004">
      <c r="A245" s="42" t="s">
        <v>118</v>
      </c>
      <c r="B245" s="19" t="s">
        <v>120</v>
      </c>
      <c r="C245" s="13" t="s">
        <v>73</v>
      </c>
      <c r="D245" s="26">
        <v>4</v>
      </c>
      <c r="E245" s="13">
        <v>1853.905858006349</v>
      </c>
      <c r="F245" s="2">
        <f t="shared" si="7"/>
        <v>7415.6234320253961</v>
      </c>
    </row>
    <row r="246" spans="1:6" x14ac:dyDescent="0.55000000000000004">
      <c r="A246" s="42" t="s">
        <v>118</v>
      </c>
      <c r="B246" s="19" t="s">
        <v>121</v>
      </c>
      <c r="C246" s="13" t="s">
        <v>122</v>
      </c>
      <c r="D246" s="26">
        <v>18</v>
      </c>
      <c r="E246" s="13">
        <v>204.24984324283454</v>
      </c>
      <c r="F246" s="2">
        <f t="shared" si="7"/>
        <v>3676.4971783710216</v>
      </c>
    </row>
    <row r="247" spans="1:6" x14ac:dyDescent="0.55000000000000004">
      <c r="A247" s="42" t="s">
        <v>118</v>
      </c>
      <c r="B247" s="19" t="s">
        <v>123</v>
      </c>
      <c r="C247" s="13" t="s">
        <v>124</v>
      </c>
      <c r="D247" s="26">
        <v>34</v>
      </c>
      <c r="E247" s="13">
        <v>274.95369019868883</v>
      </c>
      <c r="F247" s="2">
        <f t="shared" si="7"/>
        <v>9348.4254667554196</v>
      </c>
    </row>
    <row r="248" spans="1:6" x14ac:dyDescent="0.55000000000000004">
      <c r="A248" s="42" t="s">
        <v>118</v>
      </c>
      <c r="B248" s="19" t="s">
        <v>125</v>
      </c>
      <c r="C248" s="13" t="s">
        <v>73</v>
      </c>
      <c r="D248" s="26">
        <v>75</v>
      </c>
      <c r="E248" s="13">
        <v>125.69164604320912</v>
      </c>
      <c r="F248" s="2">
        <f t="shared" si="7"/>
        <v>9426.8734532406834</v>
      </c>
    </row>
    <row r="249" spans="1:6" x14ac:dyDescent="0.55000000000000004">
      <c r="A249" s="42" t="s">
        <v>118</v>
      </c>
      <c r="B249" s="19" t="s">
        <v>126</v>
      </c>
      <c r="C249" s="13" t="s">
        <v>88</v>
      </c>
      <c r="D249" s="26">
        <v>22</v>
      </c>
      <c r="E249" s="13">
        <v>15.716047868499693</v>
      </c>
      <c r="F249" s="2">
        <f t="shared" si="7"/>
        <v>345.75305310699326</v>
      </c>
    </row>
    <row r="250" spans="1:6" x14ac:dyDescent="0.55000000000000004">
      <c r="A250" s="42" t="s">
        <v>118</v>
      </c>
      <c r="B250" s="19" t="s">
        <v>127</v>
      </c>
      <c r="C250" s="13" t="s">
        <v>88</v>
      </c>
      <c r="D250" s="26">
        <v>22</v>
      </c>
      <c r="E250" s="13">
        <v>7.8616976247286896</v>
      </c>
      <c r="F250" s="2">
        <f t="shared" si="7"/>
        <v>172.95734774403118</v>
      </c>
    </row>
    <row r="251" spans="1:6" x14ac:dyDescent="0.55000000000000004">
      <c r="A251" s="42" t="s">
        <v>118</v>
      </c>
      <c r="B251" s="19" t="s">
        <v>128</v>
      </c>
      <c r="C251" s="13" t="s">
        <v>129</v>
      </c>
      <c r="D251" s="26">
        <v>1</v>
      </c>
      <c r="E251" s="13">
        <v>2521.6211446793336</v>
      </c>
      <c r="F251" s="2">
        <f t="shared" si="7"/>
        <v>2521.6211446793336</v>
      </c>
    </row>
    <row r="252" spans="1:6" x14ac:dyDescent="0.55000000000000004">
      <c r="A252" s="42" t="s">
        <v>118</v>
      </c>
      <c r="B252" s="19" t="s">
        <v>130</v>
      </c>
      <c r="C252" s="13" t="s">
        <v>88</v>
      </c>
      <c r="D252" s="26">
        <v>281</v>
      </c>
      <c r="E252" s="13">
        <v>31.432095736999386</v>
      </c>
      <c r="F252" s="2">
        <f t="shared" si="7"/>
        <v>8832.4189020968279</v>
      </c>
    </row>
    <row r="253" spans="1:6" x14ac:dyDescent="0.55000000000000004">
      <c r="A253" s="42" t="s">
        <v>118</v>
      </c>
      <c r="B253" s="19" t="s">
        <v>131</v>
      </c>
      <c r="C253" s="13" t="s">
        <v>132</v>
      </c>
      <c r="D253" s="26">
        <v>5</v>
      </c>
      <c r="E253" s="13">
        <v>10652.063922697465</v>
      </c>
      <c r="F253" s="2">
        <f t="shared" si="7"/>
        <v>53260.319613487329</v>
      </c>
    </row>
    <row r="254" spans="1:6" x14ac:dyDescent="0.55000000000000004">
      <c r="A254" s="42" t="s">
        <v>118</v>
      </c>
      <c r="B254" s="19" t="s">
        <v>133</v>
      </c>
      <c r="C254" s="13" t="s">
        <v>132</v>
      </c>
      <c r="D254" s="26">
        <v>3</v>
      </c>
      <c r="E254" s="13">
        <v>13354.349817745449</v>
      </c>
      <c r="F254" s="2">
        <f t="shared" si="7"/>
        <v>40063.049453236352</v>
      </c>
    </row>
    <row r="255" spans="1:6" x14ac:dyDescent="0.55000000000000004">
      <c r="A255" s="42" t="s">
        <v>118</v>
      </c>
      <c r="B255" s="19" t="s">
        <v>134</v>
      </c>
      <c r="C255" s="13" t="s">
        <v>132</v>
      </c>
      <c r="D255" s="26">
        <v>8</v>
      </c>
      <c r="E255" s="13">
        <v>628.44353545413003</v>
      </c>
      <c r="F255" s="2">
        <f t="shared" si="7"/>
        <v>5027.5482836330402</v>
      </c>
    </row>
    <row r="256" spans="1:6" x14ac:dyDescent="0.55000000000000004">
      <c r="A256" s="42" t="s">
        <v>118</v>
      </c>
      <c r="B256" s="19" t="s">
        <v>135</v>
      </c>
      <c r="C256" s="13" t="s">
        <v>88</v>
      </c>
      <c r="D256" s="26">
        <v>112</v>
      </c>
      <c r="E256" s="13">
        <v>39.286445980770395</v>
      </c>
      <c r="F256" s="2">
        <f t="shared" si="7"/>
        <v>4400.0819498462843</v>
      </c>
    </row>
    <row r="257" spans="1:6" x14ac:dyDescent="0.55000000000000004">
      <c r="A257" s="42" t="s">
        <v>118</v>
      </c>
      <c r="B257" s="19" t="s">
        <v>136</v>
      </c>
      <c r="C257" s="13" t="s">
        <v>88</v>
      </c>
      <c r="D257" s="26">
        <v>1</v>
      </c>
      <c r="E257" s="13">
        <v>157.11639439925079</v>
      </c>
      <c r="F257" s="2">
        <f t="shared" si="7"/>
        <v>157.11639439925079</v>
      </c>
    </row>
    <row r="258" spans="1:6" x14ac:dyDescent="0.55000000000000004">
      <c r="A258" s="42"/>
      <c r="B258" s="19"/>
      <c r="C258" s="13"/>
      <c r="D258" s="26"/>
      <c r="E258" s="13"/>
      <c r="F258" s="2"/>
    </row>
    <row r="259" spans="1:6" x14ac:dyDescent="0.55000000000000004">
      <c r="A259" s="42" t="s">
        <v>137</v>
      </c>
      <c r="B259" s="19" t="s">
        <v>137</v>
      </c>
      <c r="C259" s="13" t="s">
        <v>25</v>
      </c>
      <c r="D259" s="26">
        <v>1</v>
      </c>
      <c r="E259" s="13">
        <v>541758.28261910821</v>
      </c>
      <c r="F259" s="2">
        <f>D259*E259</f>
        <v>541758.28261910821</v>
      </c>
    </row>
    <row r="260" spans="1:6" x14ac:dyDescent="0.55000000000000004">
      <c r="A260" s="43"/>
      <c r="B260" s="19"/>
      <c r="C260" s="13"/>
      <c r="D260" s="26"/>
      <c r="E260" s="13"/>
      <c r="F260" s="2"/>
    </row>
    <row r="261" spans="1:6" x14ac:dyDescent="0.55000000000000004">
      <c r="A261" s="42" t="s">
        <v>138</v>
      </c>
      <c r="B261" s="19" t="s">
        <v>138</v>
      </c>
      <c r="C261" s="13" t="s">
        <v>25</v>
      </c>
      <c r="D261" s="26">
        <v>1</v>
      </c>
      <c r="E261" s="13">
        <v>4879.1826199544003</v>
      </c>
      <c r="F261" s="2">
        <f>D261*E261</f>
        <v>4879.1826199544003</v>
      </c>
    </row>
    <row r="262" spans="1:6" x14ac:dyDescent="0.55000000000000004">
      <c r="A262" s="42"/>
      <c r="B262" s="19"/>
      <c r="C262" s="13"/>
      <c r="D262" s="26"/>
      <c r="E262" s="13"/>
      <c r="F262" s="2"/>
    </row>
    <row r="263" spans="1:6" x14ac:dyDescent="0.55000000000000004">
      <c r="A263" s="42" t="s">
        <v>151</v>
      </c>
      <c r="B263" s="19" t="s">
        <v>151</v>
      </c>
      <c r="C263" s="13" t="s">
        <v>25</v>
      </c>
      <c r="D263" s="26">
        <v>1</v>
      </c>
      <c r="E263" s="13">
        <v>34672.533202912447</v>
      </c>
      <c r="F263" s="2">
        <f>D263*E263</f>
        <v>34672.533202912447</v>
      </c>
    </row>
    <row r="264" spans="1:6" x14ac:dyDescent="0.55000000000000004">
      <c r="A264" s="42"/>
      <c r="B264" s="19"/>
      <c r="C264" s="13"/>
      <c r="D264" s="26"/>
      <c r="E264" s="13"/>
      <c r="F264" s="2"/>
    </row>
    <row r="265" spans="1:6" x14ac:dyDescent="0.55000000000000004">
      <c r="A265" s="42" t="s">
        <v>152</v>
      </c>
      <c r="B265" s="19" t="s">
        <v>153</v>
      </c>
      <c r="C265" s="13"/>
      <c r="D265" s="26"/>
      <c r="E265" s="13"/>
      <c r="F265" s="2"/>
    </row>
    <row r="266" spans="1:6" x14ac:dyDescent="0.55000000000000004">
      <c r="A266" s="42" t="s">
        <v>153</v>
      </c>
      <c r="B266" s="19" t="s">
        <v>154</v>
      </c>
      <c r="C266" s="13" t="s">
        <v>57</v>
      </c>
      <c r="D266" s="26">
        <v>3</v>
      </c>
      <c r="E266" s="13">
        <v>466699.99774316826</v>
      </c>
      <c r="F266" s="2">
        <f>D266*E266</f>
        <v>1400099.9932295047</v>
      </c>
    </row>
    <row r="267" spans="1:6" ht="28.2" x14ac:dyDescent="0.55000000000000004">
      <c r="A267" s="42" t="s">
        <v>153</v>
      </c>
      <c r="B267" s="19" t="s">
        <v>155</v>
      </c>
      <c r="C267" s="13" t="s">
        <v>57</v>
      </c>
      <c r="D267" s="26">
        <v>1</v>
      </c>
      <c r="E267" s="13">
        <v>34692.65767935555</v>
      </c>
      <c r="F267" s="2">
        <f>D267*E267</f>
        <v>34692.65767935555</v>
      </c>
    </row>
    <row r="268" spans="1:6" ht="28.2" x14ac:dyDescent="0.55000000000000004">
      <c r="A268" s="42" t="s">
        <v>153</v>
      </c>
      <c r="B268" s="19" t="s">
        <v>156</v>
      </c>
      <c r="C268" s="13" t="s">
        <v>57</v>
      </c>
      <c r="D268" s="26">
        <v>7</v>
      </c>
      <c r="E268" s="13">
        <v>35407.780367219268</v>
      </c>
      <c r="F268" s="2">
        <f>D268*E268</f>
        <v>247854.46257053487</v>
      </c>
    </row>
    <row r="269" spans="1:6" ht="28.2" x14ac:dyDescent="0.55000000000000004">
      <c r="A269" s="42" t="s">
        <v>153</v>
      </c>
      <c r="B269" s="19" t="s">
        <v>157</v>
      </c>
      <c r="C269" s="13" t="s">
        <v>57</v>
      </c>
      <c r="D269" s="26">
        <v>2</v>
      </c>
      <c r="E269" s="13">
        <v>55124.68499309988</v>
      </c>
      <c r="F269" s="2">
        <f>D269*E269</f>
        <v>110249.36998619976</v>
      </c>
    </row>
    <row r="270" spans="1:6" x14ac:dyDescent="0.55000000000000004">
      <c r="A270" s="42"/>
      <c r="B270" s="19"/>
      <c r="C270" s="13"/>
      <c r="D270" s="26"/>
      <c r="E270" s="13"/>
      <c r="F270" s="2"/>
    </row>
    <row r="271" spans="1:6" x14ac:dyDescent="0.55000000000000004">
      <c r="A271" s="42"/>
      <c r="B271" s="19" t="s">
        <v>61</v>
      </c>
      <c r="C271" s="13"/>
      <c r="D271" s="26"/>
      <c r="E271" s="13"/>
      <c r="F271" s="2"/>
    </row>
    <row r="272" spans="1:6" x14ac:dyDescent="0.55000000000000004">
      <c r="A272" s="42" t="s">
        <v>62</v>
      </c>
      <c r="B272" s="19" t="s">
        <v>146</v>
      </c>
      <c r="C272" s="13" t="s">
        <v>57</v>
      </c>
      <c r="D272" s="26">
        <v>10</v>
      </c>
      <c r="E272" s="13">
        <v>7406.6134437195651</v>
      </c>
      <c r="F272" s="2">
        <f t="shared" ref="F272:F278" si="8">D272*E272</f>
        <v>74066.134437195651</v>
      </c>
    </row>
    <row r="273" spans="1:6" x14ac:dyDescent="0.55000000000000004">
      <c r="A273" s="42" t="s">
        <v>62</v>
      </c>
      <c r="B273" s="19" t="s">
        <v>64</v>
      </c>
      <c r="C273" s="13" t="s">
        <v>57</v>
      </c>
      <c r="D273" s="26">
        <v>2</v>
      </c>
      <c r="E273" s="13">
        <v>14072.566802618196</v>
      </c>
      <c r="F273" s="2">
        <f t="shared" si="8"/>
        <v>28145.133605236391</v>
      </c>
    </row>
    <row r="274" spans="1:6" x14ac:dyDescent="0.55000000000000004">
      <c r="A274" s="42" t="s">
        <v>62</v>
      </c>
      <c r="B274" s="19" t="s">
        <v>66</v>
      </c>
      <c r="C274" s="13" t="s">
        <v>57</v>
      </c>
      <c r="D274" s="26">
        <v>2</v>
      </c>
      <c r="E274" s="13">
        <v>3110.7824326560985</v>
      </c>
      <c r="F274" s="2">
        <f t="shared" si="8"/>
        <v>6221.5648653121971</v>
      </c>
    </row>
    <row r="275" spans="1:6" x14ac:dyDescent="0.55000000000000004">
      <c r="A275" s="42" t="s">
        <v>62</v>
      </c>
      <c r="B275" s="19" t="s">
        <v>147</v>
      </c>
      <c r="C275" s="13" t="s">
        <v>57</v>
      </c>
      <c r="D275" s="26">
        <v>4</v>
      </c>
      <c r="E275" s="13">
        <v>5184.6331892567596</v>
      </c>
      <c r="F275" s="2">
        <f t="shared" si="8"/>
        <v>20738.532757027038</v>
      </c>
    </row>
    <row r="276" spans="1:6" x14ac:dyDescent="0.55000000000000004">
      <c r="A276" s="42" t="s">
        <v>62</v>
      </c>
      <c r="B276" s="19" t="s">
        <v>148</v>
      </c>
      <c r="C276" s="13" t="s">
        <v>57</v>
      </c>
      <c r="D276" s="26">
        <v>3</v>
      </c>
      <c r="E276" s="13">
        <v>8887.9399111165403</v>
      </c>
      <c r="F276" s="2">
        <f t="shared" si="8"/>
        <v>26663.819733349621</v>
      </c>
    </row>
    <row r="277" spans="1:6" x14ac:dyDescent="0.55000000000000004">
      <c r="A277" s="42" t="s">
        <v>62</v>
      </c>
      <c r="B277" s="19" t="s">
        <v>69</v>
      </c>
      <c r="C277" s="13" t="s">
        <v>57</v>
      </c>
      <c r="D277" s="26">
        <v>3</v>
      </c>
      <c r="E277" s="13">
        <v>3777.3746196684083</v>
      </c>
      <c r="F277" s="2">
        <f t="shared" si="8"/>
        <v>11332.123859005225</v>
      </c>
    </row>
    <row r="278" spans="1:6" x14ac:dyDescent="0.55000000000000004">
      <c r="A278" s="42" t="s">
        <v>62</v>
      </c>
      <c r="B278" s="19" t="s">
        <v>70</v>
      </c>
      <c r="C278" s="13" t="s">
        <v>57</v>
      </c>
      <c r="D278" s="26">
        <v>1</v>
      </c>
      <c r="E278" s="13">
        <v>25034.344874825183</v>
      </c>
      <c r="F278" s="2">
        <f t="shared" si="8"/>
        <v>25034.344874825183</v>
      </c>
    </row>
    <row r="279" spans="1:6" x14ac:dyDescent="0.55000000000000004">
      <c r="A279" s="42"/>
      <c r="B279" s="19"/>
      <c r="C279" s="13"/>
      <c r="D279" s="26"/>
      <c r="E279" s="13"/>
      <c r="F279" s="2"/>
    </row>
    <row r="280" spans="1:6" x14ac:dyDescent="0.55000000000000004">
      <c r="A280" s="42"/>
      <c r="B280" s="19" t="s">
        <v>71</v>
      </c>
      <c r="C280" s="13"/>
      <c r="D280" s="26"/>
      <c r="E280" s="13"/>
      <c r="F280" s="2"/>
    </row>
    <row r="281" spans="1:6" x14ac:dyDescent="0.55000000000000004">
      <c r="A281" s="42" t="s">
        <v>71</v>
      </c>
      <c r="B281" s="19" t="s">
        <v>72</v>
      </c>
      <c r="C281" s="13" t="s">
        <v>73</v>
      </c>
      <c r="D281" s="26">
        <v>1</v>
      </c>
      <c r="E281" s="13">
        <v>1335.3319085159669</v>
      </c>
      <c r="F281" s="2">
        <f t="shared" ref="F281:F289" si="9">D281*E281</f>
        <v>1335.3319085159669</v>
      </c>
    </row>
    <row r="282" spans="1:6" x14ac:dyDescent="0.55000000000000004">
      <c r="A282" s="42" t="s">
        <v>71</v>
      </c>
      <c r="B282" s="19" t="s">
        <v>74</v>
      </c>
      <c r="C282" s="13" t="s">
        <v>73</v>
      </c>
      <c r="D282" s="26">
        <v>11</v>
      </c>
      <c r="E282" s="13">
        <v>1859.3177288946133</v>
      </c>
      <c r="F282" s="2">
        <f t="shared" si="9"/>
        <v>20452.495017840745</v>
      </c>
    </row>
    <row r="283" spans="1:6" x14ac:dyDescent="0.55000000000000004">
      <c r="A283" s="42" t="s">
        <v>71</v>
      </c>
      <c r="B283" s="19" t="s">
        <v>75</v>
      </c>
      <c r="C283" s="13" t="s">
        <v>73</v>
      </c>
      <c r="D283" s="26">
        <v>2</v>
      </c>
      <c r="E283" s="13">
        <v>2958.0051915252889</v>
      </c>
      <c r="F283" s="2">
        <f t="shared" si="9"/>
        <v>5916.0103830505777</v>
      </c>
    </row>
    <row r="284" spans="1:6" x14ac:dyDescent="0.55000000000000004">
      <c r="A284" s="42" t="s">
        <v>71</v>
      </c>
      <c r="B284" s="19" t="s">
        <v>76</v>
      </c>
      <c r="C284" s="13" t="s">
        <v>73</v>
      </c>
      <c r="D284" s="26">
        <v>14</v>
      </c>
      <c r="E284" s="13">
        <v>4267.3273714510324</v>
      </c>
      <c r="F284" s="2">
        <f t="shared" si="9"/>
        <v>59742.583200314453</v>
      </c>
    </row>
    <row r="285" spans="1:6" x14ac:dyDescent="0.55000000000000004">
      <c r="A285" s="42" t="s">
        <v>71</v>
      </c>
      <c r="B285" s="19" t="s">
        <v>77</v>
      </c>
      <c r="C285" s="13" t="s">
        <v>73</v>
      </c>
      <c r="D285" s="26">
        <v>9</v>
      </c>
      <c r="E285" s="13">
        <v>5442.7277890351015</v>
      </c>
      <c r="F285" s="2">
        <f t="shared" si="9"/>
        <v>48984.550101315916</v>
      </c>
    </row>
    <row r="286" spans="1:6" x14ac:dyDescent="0.55000000000000004">
      <c r="A286" s="42" t="s">
        <v>71</v>
      </c>
      <c r="B286" s="19" t="s">
        <v>78</v>
      </c>
      <c r="C286" s="13" t="s">
        <v>73</v>
      </c>
      <c r="D286" s="26">
        <v>1</v>
      </c>
      <c r="E286" s="13">
        <v>6845.6660986203315</v>
      </c>
      <c r="F286" s="2">
        <f t="shared" si="9"/>
        <v>6845.6660986203315</v>
      </c>
    </row>
    <row r="287" spans="1:6" x14ac:dyDescent="0.55000000000000004">
      <c r="A287" s="42" t="s">
        <v>71</v>
      </c>
      <c r="B287" s="19" t="s">
        <v>79</v>
      </c>
      <c r="C287" s="13" t="s">
        <v>73</v>
      </c>
      <c r="D287" s="26">
        <v>5</v>
      </c>
      <c r="E287" s="13">
        <v>9803.6649923905134</v>
      </c>
      <c r="F287" s="2">
        <f t="shared" si="9"/>
        <v>49018.324961952567</v>
      </c>
    </row>
    <row r="288" spans="1:6" x14ac:dyDescent="0.55000000000000004">
      <c r="A288" s="42" t="s">
        <v>71</v>
      </c>
      <c r="B288" s="19" t="s">
        <v>80</v>
      </c>
      <c r="C288" s="13" t="s">
        <v>73</v>
      </c>
      <c r="D288" s="26">
        <v>3</v>
      </c>
      <c r="E288" s="13">
        <v>13234.940182421067</v>
      </c>
      <c r="F288" s="2">
        <f t="shared" si="9"/>
        <v>39704.820547263203</v>
      </c>
    </row>
    <row r="289" spans="1:6" x14ac:dyDescent="0.55000000000000004">
      <c r="A289" s="42" t="s">
        <v>71</v>
      </c>
      <c r="B289" s="19" t="s">
        <v>81</v>
      </c>
      <c r="C289" s="13" t="s">
        <v>73</v>
      </c>
      <c r="D289" s="26">
        <v>7</v>
      </c>
      <c r="E289" s="13">
        <v>17028.984959856618</v>
      </c>
      <c r="F289" s="2">
        <f t="shared" si="9"/>
        <v>119202.89471899632</v>
      </c>
    </row>
    <row r="290" spans="1:6" x14ac:dyDescent="0.55000000000000004">
      <c r="A290" s="43"/>
      <c r="B290" s="19"/>
      <c r="C290" s="13"/>
      <c r="D290" s="26"/>
      <c r="E290" s="13"/>
      <c r="F290" s="2"/>
    </row>
    <row r="291" spans="1:6" x14ac:dyDescent="0.55000000000000004">
      <c r="A291" s="43"/>
      <c r="B291" s="19" t="s">
        <v>82</v>
      </c>
      <c r="C291" s="13"/>
      <c r="D291" s="26"/>
      <c r="E291" s="13"/>
      <c r="F291" s="2"/>
    </row>
    <row r="292" spans="1:6" x14ac:dyDescent="0.55000000000000004">
      <c r="A292" s="42" t="s">
        <v>82</v>
      </c>
      <c r="B292" s="19" t="s">
        <v>72</v>
      </c>
      <c r="C292" s="13" t="s">
        <v>73</v>
      </c>
      <c r="D292" s="26">
        <v>2</v>
      </c>
      <c r="E292" s="13">
        <v>273.05176815649816</v>
      </c>
      <c r="F292" s="2">
        <f t="shared" ref="F292:F300" si="10">D292*E292</f>
        <v>546.10353631299631</v>
      </c>
    </row>
    <row r="293" spans="1:6" x14ac:dyDescent="0.55000000000000004">
      <c r="A293" s="42" t="s">
        <v>82</v>
      </c>
      <c r="B293" s="19" t="s">
        <v>74</v>
      </c>
      <c r="C293" s="13" t="s">
        <v>73</v>
      </c>
      <c r="D293" s="26">
        <v>21</v>
      </c>
      <c r="E293" s="13">
        <v>278.25371387454294</v>
      </c>
      <c r="F293" s="2">
        <f t="shared" si="10"/>
        <v>5843.3279913654014</v>
      </c>
    </row>
    <row r="294" spans="1:6" x14ac:dyDescent="0.55000000000000004">
      <c r="A294" s="42" t="s">
        <v>82</v>
      </c>
      <c r="B294" s="19" t="s">
        <v>75</v>
      </c>
      <c r="C294" s="13" t="s">
        <v>73</v>
      </c>
      <c r="D294" s="26">
        <v>4</v>
      </c>
      <c r="E294" s="13">
        <v>325.05862982673278</v>
      </c>
      <c r="F294" s="2">
        <f t="shared" si="10"/>
        <v>1300.2345193069311</v>
      </c>
    </row>
    <row r="295" spans="1:6" x14ac:dyDescent="0.55000000000000004">
      <c r="A295" s="42" t="s">
        <v>82</v>
      </c>
      <c r="B295" s="19" t="s">
        <v>76</v>
      </c>
      <c r="C295" s="13" t="s">
        <v>73</v>
      </c>
      <c r="D295" s="26">
        <v>27</v>
      </c>
      <c r="E295" s="13">
        <v>396.57593681718862</v>
      </c>
      <c r="F295" s="2">
        <f t="shared" si="10"/>
        <v>10707.550294064093</v>
      </c>
    </row>
    <row r="296" spans="1:6" x14ac:dyDescent="0.55000000000000004">
      <c r="A296" s="42" t="s">
        <v>82</v>
      </c>
      <c r="B296" s="19" t="s">
        <v>77</v>
      </c>
      <c r="C296" s="13" t="s">
        <v>73</v>
      </c>
      <c r="D296" s="26">
        <v>17</v>
      </c>
      <c r="E296" s="13">
        <v>445.98182562840083</v>
      </c>
      <c r="F296" s="2">
        <f t="shared" si="10"/>
        <v>7581.6910356828139</v>
      </c>
    </row>
    <row r="297" spans="1:6" x14ac:dyDescent="0.55000000000000004">
      <c r="A297" s="42" t="s">
        <v>82</v>
      </c>
      <c r="B297" s="19" t="s">
        <v>78</v>
      </c>
      <c r="C297" s="13" t="s">
        <v>73</v>
      </c>
      <c r="D297" s="26">
        <v>2</v>
      </c>
      <c r="E297" s="13">
        <v>494.09037688765517</v>
      </c>
      <c r="F297" s="2">
        <f t="shared" si="10"/>
        <v>988.18075377531034</v>
      </c>
    </row>
    <row r="298" spans="1:6" x14ac:dyDescent="0.55000000000000004">
      <c r="A298" s="42" t="s">
        <v>82</v>
      </c>
      <c r="B298" s="19" t="s">
        <v>79</v>
      </c>
      <c r="C298" s="13" t="s">
        <v>73</v>
      </c>
      <c r="D298" s="26">
        <v>10</v>
      </c>
      <c r="E298" s="13">
        <v>533.0986720178845</v>
      </c>
      <c r="F298" s="2">
        <f t="shared" si="10"/>
        <v>5330.9867201788447</v>
      </c>
    </row>
    <row r="299" spans="1:6" x14ac:dyDescent="0.55000000000000004">
      <c r="A299" s="42" t="s">
        <v>82</v>
      </c>
      <c r="B299" s="19" t="s">
        <v>80</v>
      </c>
      <c r="C299" s="13" t="s">
        <v>73</v>
      </c>
      <c r="D299" s="26">
        <v>5</v>
      </c>
      <c r="E299" s="13">
        <v>564.29775081593993</v>
      </c>
      <c r="F299" s="2">
        <f t="shared" si="10"/>
        <v>2821.4887540796999</v>
      </c>
    </row>
    <row r="300" spans="1:6" x14ac:dyDescent="0.55000000000000004">
      <c r="A300" s="42" t="s">
        <v>82</v>
      </c>
      <c r="B300" s="19" t="s">
        <v>81</v>
      </c>
      <c r="C300" s="13" t="s">
        <v>73</v>
      </c>
      <c r="D300" s="26">
        <v>13</v>
      </c>
      <c r="E300" s="13">
        <v>637.11869311346027</v>
      </c>
      <c r="F300" s="2">
        <f t="shared" si="10"/>
        <v>8282.543010474983</v>
      </c>
    </row>
    <row r="301" spans="1:6" x14ac:dyDescent="0.55000000000000004">
      <c r="A301" s="43"/>
      <c r="B301" s="19"/>
      <c r="C301" s="13"/>
      <c r="D301" s="26"/>
      <c r="E301" s="13"/>
      <c r="F301" s="2"/>
    </row>
    <row r="302" spans="1:6" x14ac:dyDescent="0.55000000000000004">
      <c r="A302" s="42" t="s">
        <v>83</v>
      </c>
      <c r="B302" s="19" t="s">
        <v>83</v>
      </c>
      <c r="C302" s="13" t="s">
        <v>25</v>
      </c>
      <c r="D302" s="26">
        <v>1</v>
      </c>
      <c r="E302" s="13">
        <v>37241.869289156864</v>
      </c>
      <c r="F302" s="2">
        <f>D302*E302</f>
        <v>37241.869289156864</v>
      </c>
    </row>
    <row r="303" spans="1:6" x14ac:dyDescent="0.55000000000000004">
      <c r="A303" s="42"/>
      <c r="B303" s="19"/>
      <c r="C303" s="13"/>
      <c r="D303" s="26"/>
      <c r="E303" s="13"/>
      <c r="F303" s="2"/>
    </row>
    <row r="304" spans="1:6" x14ac:dyDescent="0.55000000000000004">
      <c r="A304" s="42" t="s">
        <v>84</v>
      </c>
      <c r="B304" s="19" t="s">
        <v>84</v>
      </c>
      <c r="C304" s="13" t="s">
        <v>85</v>
      </c>
      <c r="D304" s="26">
        <v>20</v>
      </c>
      <c r="E304" s="13">
        <v>2019.9923549290886</v>
      </c>
      <c r="F304" s="2">
        <f>D304*E304</f>
        <v>40399.847098581769</v>
      </c>
    </row>
    <row r="305" spans="1:6" x14ac:dyDescent="0.55000000000000004">
      <c r="A305" s="42"/>
      <c r="B305" s="19"/>
      <c r="C305" s="13"/>
      <c r="D305" s="26"/>
      <c r="E305" s="13"/>
      <c r="F305" s="2"/>
    </row>
    <row r="306" spans="1:6" x14ac:dyDescent="0.55000000000000004">
      <c r="A306" s="42" t="s">
        <v>86</v>
      </c>
      <c r="B306" s="19" t="s">
        <v>86</v>
      </c>
      <c r="C306" s="13" t="s">
        <v>25</v>
      </c>
      <c r="D306" s="26">
        <v>1</v>
      </c>
      <c r="E306" s="13">
        <v>12413.958528970661</v>
      </c>
      <c r="F306" s="2">
        <f>D306*E306</f>
        <v>12413.958528970661</v>
      </c>
    </row>
    <row r="307" spans="1:6" x14ac:dyDescent="0.55000000000000004">
      <c r="A307" s="43"/>
      <c r="B307" s="19"/>
      <c r="C307" s="13"/>
      <c r="D307" s="26"/>
      <c r="E307" s="13"/>
      <c r="F307" s="2"/>
    </row>
    <row r="308" spans="1:6" x14ac:dyDescent="0.55000000000000004">
      <c r="A308" s="42" t="s">
        <v>87</v>
      </c>
      <c r="B308" s="19" t="s">
        <v>87</v>
      </c>
      <c r="C308" s="13" t="s">
        <v>88</v>
      </c>
      <c r="D308" s="26">
        <v>3</v>
      </c>
      <c r="E308" s="13">
        <v>6059.9581715219456</v>
      </c>
      <c r="F308" s="2">
        <f>D308*E308</f>
        <v>18179.874514565836</v>
      </c>
    </row>
    <row r="309" spans="1:6" x14ac:dyDescent="0.55000000000000004">
      <c r="A309" s="42"/>
      <c r="B309" s="19"/>
      <c r="C309" s="13"/>
      <c r="D309" s="26"/>
      <c r="E309" s="13"/>
      <c r="F309" s="2"/>
    </row>
    <row r="310" spans="1:6" x14ac:dyDescent="0.55000000000000004">
      <c r="A310" s="43"/>
      <c r="B310" s="19" t="s">
        <v>89</v>
      </c>
      <c r="C310" s="13"/>
      <c r="D310" s="26"/>
      <c r="E310" s="13"/>
      <c r="F310" s="2"/>
    </row>
    <row r="311" spans="1:6" x14ac:dyDescent="0.55000000000000004">
      <c r="A311" s="42" t="s">
        <v>89</v>
      </c>
      <c r="B311" s="19" t="s">
        <v>90</v>
      </c>
      <c r="C311" s="13" t="s">
        <v>73</v>
      </c>
      <c r="D311" s="26">
        <v>33</v>
      </c>
      <c r="E311" s="13">
        <v>254.52377263290529</v>
      </c>
      <c r="F311" s="2">
        <f>D311*E311</f>
        <v>8399.2844968858753</v>
      </c>
    </row>
    <row r="312" spans="1:6" x14ac:dyDescent="0.55000000000000004">
      <c r="A312" s="42" t="s">
        <v>89</v>
      </c>
      <c r="B312" s="19" t="s">
        <v>91</v>
      </c>
      <c r="C312" s="13" t="s">
        <v>73</v>
      </c>
      <c r="D312" s="26">
        <v>12</v>
      </c>
      <c r="E312" s="13">
        <v>404.20881600637779</v>
      </c>
      <c r="F312" s="2">
        <f>D312*E312</f>
        <v>4850.5057920765339</v>
      </c>
    </row>
    <row r="313" spans="1:6" x14ac:dyDescent="0.55000000000000004">
      <c r="A313" s="43"/>
      <c r="B313" s="19"/>
      <c r="C313" s="13"/>
      <c r="D313" s="26"/>
      <c r="E313" s="13"/>
      <c r="F313" s="2"/>
    </row>
    <row r="314" spans="1:6" x14ac:dyDescent="0.55000000000000004">
      <c r="A314" s="43"/>
      <c r="B314" s="19" t="s">
        <v>92</v>
      </c>
      <c r="C314" s="13"/>
      <c r="D314" s="26"/>
      <c r="E314" s="13"/>
      <c r="F314" s="2"/>
    </row>
    <row r="315" spans="1:6" x14ac:dyDescent="0.55000000000000004">
      <c r="A315" s="42" t="s">
        <v>92</v>
      </c>
      <c r="B315" s="19" t="s">
        <v>93</v>
      </c>
      <c r="C315" s="13" t="s">
        <v>73</v>
      </c>
      <c r="D315" s="26">
        <v>66</v>
      </c>
      <c r="E315" s="13">
        <v>269.33609264360899</v>
      </c>
      <c r="F315" s="2">
        <f>D315*E315</f>
        <v>17776.182114478193</v>
      </c>
    </row>
    <row r="316" spans="1:6" x14ac:dyDescent="0.55000000000000004">
      <c r="A316" s="42" t="s">
        <v>92</v>
      </c>
      <c r="B316" s="19" t="s">
        <v>94</v>
      </c>
      <c r="C316" s="13" t="s">
        <v>73</v>
      </c>
      <c r="D316" s="26">
        <v>23</v>
      </c>
      <c r="E316" s="13">
        <v>511.73668669632514</v>
      </c>
      <c r="F316" s="2">
        <f>D316*E316</f>
        <v>11769.943794015478</v>
      </c>
    </row>
    <row r="317" spans="1:6" x14ac:dyDescent="0.55000000000000004">
      <c r="A317" s="43"/>
      <c r="B317" s="19"/>
      <c r="C317" s="13"/>
      <c r="D317" s="26"/>
      <c r="E317" s="13"/>
      <c r="F317" s="2"/>
    </row>
    <row r="318" spans="1:6" x14ac:dyDescent="0.55000000000000004">
      <c r="A318" s="43"/>
      <c r="B318" s="19" t="s">
        <v>95</v>
      </c>
      <c r="C318" s="13"/>
      <c r="D318" s="26"/>
      <c r="E318" s="13"/>
      <c r="F318" s="2"/>
    </row>
    <row r="319" spans="1:6" x14ac:dyDescent="0.55000000000000004">
      <c r="A319" s="42" t="s">
        <v>96</v>
      </c>
      <c r="B319" s="19" t="s">
        <v>96</v>
      </c>
      <c r="C319" s="13" t="s">
        <v>88</v>
      </c>
      <c r="D319" s="26">
        <v>11</v>
      </c>
      <c r="E319" s="13">
        <v>19191.249900398725</v>
      </c>
      <c r="F319" s="2">
        <f>D319*E319</f>
        <v>211103.74890438598</v>
      </c>
    </row>
    <row r="320" spans="1:6" x14ac:dyDescent="0.55000000000000004">
      <c r="A320" s="43"/>
      <c r="B320" s="19"/>
      <c r="C320" s="13"/>
      <c r="D320" s="26"/>
      <c r="E320" s="13"/>
      <c r="F320" s="2"/>
    </row>
    <row r="321" spans="1:6" x14ac:dyDescent="0.55000000000000004">
      <c r="A321" s="43"/>
      <c r="B321" s="19" t="s">
        <v>97</v>
      </c>
      <c r="C321" s="13"/>
      <c r="D321" s="26"/>
      <c r="E321" s="13"/>
      <c r="F321" s="2"/>
    </row>
    <row r="322" spans="1:6" x14ac:dyDescent="0.55000000000000004">
      <c r="A322" s="42" t="s">
        <v>97</v>
      </c>
      <c r="B322" s="19" t="s">
        <v>98</v>
      </c>
      <c r="C322" s="13" t="s">
        <v>73</v>
      </c>
      <c r="D322" s="26">
        <v>7</v>
      </c>
      <c r="E322" s="13">
        <v>121.20659478146467</v>
      </c>
      <c r="F322" s="2">
        <f>D322*E322</f>
        <v>848.44616347025271</v>
      </c>
    </row>
    <row r="323" spans="1:6" x14ac:dyDescent="0.55000000000000004">
      <c r="A323" s="42" t="s">
        <v>97</v>
      </c>
      <c r="B323" s="19" t="s">
        <v>99</v>
      </c>
      <c r="C323" s="13" t="s">
        <v>73</v>
      </c>
      <c r="D323" s="26">
        <v>6</v>
      </c>
      <c r="E323" s="13">
        <v>33.674096554946054</v>
      </c>
      <c r="F323" s="2">
        <f>D323*E323</f>
        <v>202.04457932967631</v>
      </c>
    </row>
    <row r="324" spans="1:6" x14ac:dyDescent="0.55000000000000004">
      <c r="A324" s="42" t="s">
        <v>97</v>
      </c>
      <c r="B324" s="19" t="s">
        <v>101</v>
      </c>
      <c r="C324" s="13" t="s">
        <v>73</v>
      </c>
      <c r="D324" s="26">
        <v>7</v>
      </c>
      <c r="E324" s="13">
        <v>27.477105530059774</v>
      </c>
      <c r="F324" s="2">
        <f>D324*E324</f>
        <v>192.33973871041843</v>
      </c>
    </row>
    <row r="325" spans="1:6" x14ac:dyDescent="0.55000000000000004">
      <c r="A325" s="42" t="s">
        <v>97</v>
      </c>
      <c r="B325" s="19" t="s">
        <v>102</v>
      </c>
      <c r="C325" s="13" t="s">
        <v>73</v>
      </c>
      <c r="D325" s="26">
        <v>2</v>
      </c>
      <c r="E325" s="13">
        <v>134.67119519935784</v>
      </c>
      <c r="F325" s="2">
        <f>D325*E325</f>
        <v>269.34239039871568</v>
      </c>
    </row>
    <row r="326" spans="1:6" x14ac:dyDescent="0.55000000000000004">
      <c r="A326" s="42"/>
      <c r="B326" s="19"/>
      <c r="C326" s="13"/>
      <c r="D326" s="26"/>
      <c r="E326" s="13"/>
      <c r="F326" s="2"/>
    </row>
    <row r="327" spans="1:6" x14ac:dyDescent="0.55000000000000004">
      <c r="A327" s="43"/>
      <c r="B327" s="19" t="s">
        <v>103</v>
      </c>
      <c r="C327" s="13"/>
      <c r="D327" s="26"/>
      <c r="E327" s="13"/>
      <c r="F327" s="2"/>
    </row>
    <row r="328" spans="1:6" x14ac:dyDescent="0.55000000000000004">
      <c r="A328" s="43"/>
      <c r="B328" s="19" t="s">
        <v>104</v>
      </c>
      <c r="C328" s="13"/>
      <c r="D328" s="26"/>
      <c r="E328" s="13"/>
      <c r="F328" s="2"/>
    </row>
    <row r="329" spans="1:6" x14ac:dyDescent="0.55000000000000004">
      <c r="A329" s="42" t="s">
        <v>104</v>
      </c>
      <c r="B329" s="19" t="s">
        <v>105</v>
      </c>
      <c r="C329" s="13" t="s">
        <v>106</v>
      </c>
      <c r="D329" s="26">
        <v>78</v>
      </c>
      <c r="E329" s="13">
        <v>254.52377263290526</v>
      </c>
      <c r="F329" s="2">
        <f>D329*E329</f>
        <v>19852.854265366612</v>
      </c>
    </row>
    <row r="330" spans="1:6" x14ac:dyDescent="0.55000000000000004">
      <c r="A330" s="42" t="s">
        <v>104</v>
      </c>
      <c r="B330" s="19" t="s">
        <v>107</v>
      </c>
      <c r="C330" s="13" t="s">
        <v>106</v>
      </c>
      <c r="D330" s="26">
        <v>444</v>
      </c>
      <c r="E330" s="13">
        <v>41.483312887119801</v>
      </c>
      <c r="F330" s="2">
        <f>D330*E330</f>
        <v>18418.59092188119</v>
      </c>
    </row>
    <row r="331" spans="1:6" x14ac:dyDescent="0.55000000000000004">
      <c r="A331" s="42" t="s">
        <v>104</v>
      </c>
      <c r="B331" s="19" t="s">
        <v>108</v>
      </c>
      <c r="C331" s="13" t="s">
        <v>88</v>
      </c>
      <c r="D331" s="26">
        <v>26</v>
      </c>
      <c r="E331" s="13">
        <v>20.209496137052906</v>
      </c>
      <c r="F331" s="2">
        <f>D331*E331</f>
        <v>525.4468995633755</v>
      </c>
    </row>
    <row r="332" spans="1:6" x14ac:dyDescent="0.55000000000000004">
      <c r="A332" s="43"/>
      <c r="B332" s="19" t="s">
        <v>109</v>
      </c>
      <c r="C332" s="13"/>
      <c r="D332" s="26"/>
      <c r="E332" s="13"/>
      <c r="F332" s="2"/>
    </row>
    <row r="333" spans="1:6" x14ac:dyDescent="0.55000000000000004">
      <c r="A333" s="42" t="s">
        <v>109</v>
      </c>
      <c r="B333" s="19" t="s">
        <v>110</v>
      </c>
      <c r="C333" s="13" t="s">
        <v>106</v>
      </c>
      <c r="D333" s="26">
        <v>291</v>
      </c>
      <c r="E333" s="13">
        <v>50.911052281687645</v>
      </c>
      <c r="F333" s="2">
        <f>D333*E333</f>
        <v>14815.116213971105</v>
      </c>
    </row>
    <row r="334" spans="1:6" x14ac:dyDescent="0.55000000000000004">
      <c r="A334" s="42" t="s">
        <v>109</v>
      </c>
      <c r="B334" s="19" t="s">
        <v>111</v>
      </c>
      <c r="C334" s="13" t="s">
        <v>106</v>
      </c>
      <c r="D334" s="26">
        <v>63</v>
      </c>
      <c r="E334" s="13">
        <v>49.431079831638584</v>
      </c>
      <c r="F334" s="2">
        <f>D334*E334</f>
        <v>3114.1580293932307</v>
      </c>
    </row>
    <row r="335" spans="1:6" x14ac:dyDescent="0.55000000000000004">
      <c r="A335" s="42" t="s">
        <v>109</v>
      </c>
      <c r="B335" s="19" t="s">
        <v>112</v>
      </c>
      <c r="C335" s="13" t="s">
        <v>106</v>
      </c>
      <c r="D335" s="26">
        <v>26</v>
      </c>
      <c r="E335" s="13">
        <v>75.642336585273426</v>
      </c>
      <c r="F335" s="2">
        <f>D335*E335</f>
        <v>1966.700751217109</v>
      </c>
    </row>
    <row r="336" spans="1:6" x14ac:dyDescent="0.55000000000000004">
      <c r="A336" s="42" t="s">
        <v>109</v>
      </c>
      <c r="B336" s="19" t="s">
        <v>113</v>
      </c>
      <c r="C336" s="13" t="s">
        <v>106</v>
      </c>
      <c r="D336" s="26">
        <v>59</v>
      </c>
      <c r="E336" s="13">
        <v>497.18887240009838</v>
      </c>
      <c r="F336" s="2">
        <f>D336*E336</f>
        <v>29334.143471605803</v>
      </c>
    </row>
    <row r="337" spans="1:6" x14ac:dyDescent="0.55000000000000004">
      <c r="A337" s="43"/>
      <c r="B337" s="19" t="s">
        <v>114</v>
      </c>
      <c r="C337" s="13"/>
      <c r="D337" s="26"/>
      <c r="E337" s="13"/>
      <c r="F337" s="2"/>
    </row>
    <row r="338" spans="1:6" x14ac:dyDescent="0.55000000000000004">
      <c r="A338" s="42" t="s">
        <v>109</v>
      </c>
      <c r="B338" s="19" t="s">
        <v>115</v>
      </c>
      <c r="C338" s="13" t="s">
        <v>106</v>
      </c>
      <c r="D338" s="26">
        <v>65</v>
      </c>
      <c r="E338" s="13">
        <v>49.431079831638584</v>
      </c>
      <c r="F338" s="2">
        <f>D338*E338</f>
        <v>3213.0201890565081</v>
      </c>
    </row>
    <row r="339" spans="1:6" x14ac:dyDescent="0.55000000000000004">
      <c r="A339" s="42" t="s">
        <v>109</v>
      </c>
      <c r="B339" s="19" t="s">
        <v>116</v>
      </c>
      <c r="C339" s="13" t="s">
        <v>106</v>
      </c>
      <c r="D339" s="26">
        <v>20</v>
      </c>
      <c r="E339" s="13">
        <v>118.32222294264567</v>
      </c>
      <c r="F339" s="2">
        <f>D339*E339</f>
        <v>2366.4444588529132</v>
      </c>
    </row>
    <row r="340" spans="1:6" x14ac:dyDescent="0.55000000000000004">
      <c r="A340" s="43"/>
      <c r="B340" s="19"/>
      <c r="C340" s="13"/>
      <c r="D340" s="26"/>
      <c r="E340" s="13"/>
      <c r="F340" s="2"/>
    </row>
    <row r="341" spans="1:6" x14ac:dyDescent="0.55000000000000004">
      <c r="A341" s="43"/>
      <c r="B341" s="19" t="s">
        <v>118</v>
      </c>
      <c r="C341" s="13"/>
      <c r="D341" s="26"/>
      <c r="E341" s="13"/>
      <c r="F341" s="2"/>
    </row>
    <row r="342" spans="1:6" x14ac:dyDescent="0.55000000000000004">
      <c r="A342" s="42" t="s">
        <v>118</v>
      </c>
      <c r="B342" s="19" t="s">
        <v>119</v>
      </c>
      <c r="C342" s="13" t="s">
        <v>88</v>
      </c>
      <c r="D342" s="26">
        <v>14</v>
      </c>
      <c r="E342" s="13">
        <v>1021.2198266903417</v>
      </c>
      <c r="F342" s="2">
        <f t="shared" ref="F342:F355" si="11">D342*E342</f>
        <v>14297.077573664785</v>
      </c>
    </row>
    <row r="343" spans="1:6" x14ac:dyDescent="0.55000000000000004">
      <c r="A343" s="42" t="s">
        <v>118</v>
      </c>
      <c r="B343" s="19" t="s">
        <v>120</v>
      </c>
      <c r="C343" s="13" t="s">
        <v>73</v>
      </c>
      <c r="D343" s="26">
        <v>5</v>
      </c>
      <c r="E343" s="13">
        <v>1853.9058580063488</v>
      </c>
      <c r="F343" s="2">
        <f t="shared" si="11"/>
        <v>9269.5292900317436</v>
      </c>
    </row>
    <row r="344" spans="1:6" x14ac:dyDescent="0.55000000000000004">
      <c r="A344" s="42" t="s">
        <v>118</v>
      </c>
      <c r="B344" s="19" t="s">
        <v>121</v>
      </c>
      <c r="C344" s="13" t="s">
        <v>122</v>
      </c>
      <c r="D344" s="26">
        <v>11</v>
      </c>
      <c r="E344" s="13">
        <v>204.24984324283449</v>
      </c>
      <c r="F344" s="2">
        <f t="shared" si="11"/>
        <v>2246.7482756711793</v>
      </c>
    </row>
    <row r="345" spans="1:6" x14ac:dyDescent="0.55000000000000004">
      <c r="A345" s="42" t="s">
        <v>118</v>
      </c>
      <c r="B345" s="19" t="s">
        <v>123</v>
      </c>
      <c r="C345" s="13" t="s">
        <v>124</v>
      </c>
      <c r="D345" s="26">
        <v>21</v>
      </c>
      <c r="E345" s="13">
        <v>274.95369019868883</v>
      </c>
      <c r="F345" s="2">
        <f t="shared" si="11"/>
        <v>5774.0274941724656</v>
      </c>
    </row>
    <row r="346" spans="1:6" x14ac:dyDescent="0.55000000000000004">
      <c r="A346" s="42" t="s">
        <v>118</v>
      </c>
      <c r="B346" s="19" t="s">
        <v>125</v>
      </c>
      <c r="C346" s="13" t="s">
        <v>73</v>
      </c>
      <c r="D346" s="26">
        <v>46</v>
      </c>
      <c r="E346" s="13">
        <v>125.69164604320909</v>
      </c>
      <c r="F346" s="2">
        <f t="shared" si="11"/>
        <v>5781.815717987618</v>
      </c>
    </row>
    <row r="347" spans="1:6" x14ac:dyDescent="0.55000000000000004">
      <c r="A347" s="42" t="s">
        <v>118</v>
      </c>
      <c r="B347" s="19" t="s">
        <v>126</v>
      </c>
      <c r="C347" s="13" t="s">
        <v>88</v>
      </c>
      <c r="D347" s="26">
        <v>22</v>
      </c>
      <c r="E347" s="13">
        <v>15.716047868499693</v>
      </c>
      <c r="F347" s="2">
        <f t="shared" si="11"/>
        <v>345.75305310699326</v>
      </c>
    </row>
    <row r="348" spans="1:6" x14ac:dyDescent="0.55000000000000004">
      <c r="A348" s="42" t="s">
        <v>118</v>
      </c>
      <c r="B348" s="19" t="s">
        <v>127</v>
      </c>
      <c r="C348" s="13" t="s">
        <v>88</v>
      </c>
      <c r="D348" s="26">
        <v>22</v>
      </c>
      <c r="E348" s="13">
        <v>7.8616976247286896</v>
      </c>
      <c r="F348" s="2">
        <f t="shared" si="11"/>
        <v>172.95734774403118</v>
      </c>
    </row>
    <row r="349" spans="1:6" x14ac:dyDescent="0.55000000000000004">
      <c r="A349" s="42" t="s">
        <v>118</v>
      </c>
      <c r="B349" s="19" t="s">
        <v>128</v>
      </c>
      <c r="C349" s="13" t="s">
        <v>129</v>
      </c>
      <c r="D349" s="26">
        <v>1</v>
      </c>
      <c r="E349" s="13">
        <v>2521.6211446793336</v>
      </c>
      <c r="F349" s="2">
        <f t="shared" si="11"/>
        <v>2521.6211446793336</v>
      </c>
    </row>
    <row r="350" spans="1:6" x14ac:dyDescent="0.55000000000000004">
      <c r="A350" s="42" t="s">
        <v>118</v>
      </c>
      <c r="B350" s="19" t="s">
        <v>130</v>
      </c>
      <c r="C350" s="13" t="s">
        <v>88</v>
      </c>
      <c r="D350" s="26">
        <v>171</v>
      </c>
      <c r="E350" s="13">
        <v>31.432095736999397</v>
      </c>
      <c r="F350" s="2">
        <f t="shared" si="11"/>
        <v>5374.8883710268965</v>
      </c>
    </row>
    <row r="351" spans="1:6" x14ac:dyDescent="0.55000000000000004">
      <c r="A351" s="42" t="s">
        <v>118</v>
      </c>
      <c r="B351" s="19" t="s">
        <v>131</v>
      </c>
      <c r="C351" s="13" t="s">
        <v>132</v>
      </c>
      <c r="D351" s="26">
        <v>4</v>
      </c>
      <c r="E351" s="13">
        <v>10652.063922697465</v>
      </c>
      <c r="F351" s="2">
        <f t="shared" si="11"/>
        <v>42608.255690789862</v>
      </c>
    </row>
    <row r="352" spans="1:6" x14ac:dyDescent="0.55000000000000004">
      <c r="A352" s="42" t="s">
        <v>118</v>
      </c>
      <c r="B352" s="19" t="s">
        <v>133</v>
      </c>
      <c r="C352" s="13" t="s">
        <v>132</v>
      </c>
      <c r="D352" s="26">
        <v>2</v>
      </c>
      <c r="E352" s="13">
        <v>13354.349817745449</v>
      </c>
      <c r="F352" s="2">
        <f t="shared" si="11"/>
        <v>26708.699635490899</v>
      </c>
    </row>
    <row r="353" spans="1:6" x14ac:dyDescent="0.55000000000000004">
      <c r="A353" s="42" t="s">
        <v>118</v>
      </c>
      <c r="B353" s="19" t="s">
        <v>134</v>
      </c>
      <c r="C353" s="13" t="s">
        <v>132</v>
      </c>
      <c r="D353" s="26">
        <v>6</v>
      </c>
      <c r="E353" s="13">
        <v>597.02613447904605</v>
      </c>
      <c r="F353" s="2">
        <f t="shared" si="11"/>
        <v>3582.1568068742763</v>
      </c>
    </row>
    <row r="354" spans="1:6" x14ac:dyDescent="0.55000000000000004">
      <c r="A354" s="42" t="s">
        <v>118</v>
      </c>
      <c r="B354" s="19" t="s">
        <v>135</v>
      </c>
      <c r="C354" s="13" t="s">
        <v>88</v>
      </c>
      <c r="D354" s="26">
        <v>69</v>
      </c>
      <c r="E354" s="13">
        <v>39.286445980770388</v>
      </c>
      <c r="F354" s="2">
        <f t="shared" si="11"/>
        <v>2710.7647726731566</v>
      </c>
    </row>
    <row r="355" spans="1:6" x14ac:dyDescent="0.55000000000000004">
      <c r="A355" s="42" t="s">
        <v>118</v>
      </c>
      <c r="B355" s="19" t="s">
        <v>136</v>
      </c>
      <c r="C355" s="13" t="s">
        <v>88</v>
      </c>
      <c r="D355" s="26">
        <v>1</v>
      </c>
      <c r="E355" s="13">
        <v>157.11639439925079</v>
      </c>
      <c r="F355" s="2">
        <f t="shared" si="11"/>
        <v>157.11639439925079</v>
      </c>
    </row>
    <row r="356" spans="1:6" x14ac:dyDescent="0.55000000000000004">
      <c r="A356" s="43"/>
      <c r="B356" s="19"/>
      <c r="C356" s="13"/>
      <c r="D356" s="26"/>
      <c r="E356" s="13"/>
      <c r="F356" s="2"/>
    </row>
    <row r="357" spans="1:6" x14ac:dyDescent="0.55000000000000004">
      <c r="A357" s="42" t="s">
        <v>137</v>
      </c>
      <c r="B357" s="19" t="s">
        <v>137</v>
      </c>
      <c r="C357" s="13" t="s">
        <v>25</v>
      </c>
      <c r="D357" s="26">
        <v>1</v>
      </c>
      <c r="E357" s="13">
        <v>541758.28261910821</v>
      </c>
      <c r="F357" s="2">
        <f>D357*E357</f>
        <v>541758.28261910821</v>
      </c>
    </row>
    <row r="358" spans="1:6" x14ac:dyDescent="0.55000000000000004">
      <c r="A358" s="43"/>
      <c r="B358" s="19"/>
      <c r="C358" s="13"/>
      <c r="D358" s="26"/>
      <c r="E358" s="13"/>
      <c r="F358" s="2"/>
    </row>
    <row r="359" spans="1:6" x14ac:dyDescent="0.55000000000000004">
      <c r="A359" s="42" t="s">
        <v>138</v>
      </c>
      <c r="B359" s="19" t="s">
        <v>138</v>
      </c>
      <c r="C359" s="13" t="s">
        <v>25</v>
      </c>
      <c r="D359" s="26">
        <v>1</v>
      </c>
      <c r="E359" s="13">
        <v>3681.3978814698003</v>
      </c>
      <c r="F359" s="2">
        <f>D359*E359</f>
        <v>3681.3978814698003</v>
      </c>
    </row>
    <row r="360" spans="1:6" x14ac:dyDescent="0.55000000000000004">
      <c r="A360" s="42"/>
      <c r="B360" s="19"/>
      <c r="C360" s="13"/>
      <c r="D360" s="26"/>
      <c r="E360" s="13"/>
      <c r="F360" s="2"/>
    </row>
    <row r="361" spans="1:6" x14ac:dyDescent="0.55000000000000004">
      <c r="A361" s="42" t="s">
        <v>151</v>
      </c>
      <c r="B361" s="19" t="s">
        <v>139</v>
      </c>
      <c r="C361" s="13" t="s">
        <v>25</v>
      </c>
      <c r="D361" s="26">
        <v>1</v>
      </c>
      <c r="E361" s="13">
        <v>28171.430931309813</v>
      </c>
      <c r="F361" s="2">
        <f>D361*E361</f>
        <v>28171.430931309813</v>
      </c>
    </row>
    <row r="362" spans="1:6" x14ac:dyDescent="0.55000000000000004">
      <c r="A362" s="43"/>
      <c r="B362" s="19"/>
      <c r="C362" s="13"/>
      <c r="D362" s="26"/>
      <c r="E362" s="13"/>
      <c r="F362" s="2"/>
    </row>
    <row r="363" spans="1:6" x14ac:dyDescent="0.55000000000000004">
      <c r="A363" s="43"/>
      <c r="B363" s="19" t="s">
        <v>158</v>
      </c>
      <c r="C363" s="13"/>
      <c r="D363" s="26"/>
      <c r="E363" s="13"/>
      <c r="F363" s="2"/>
    </row>
    <row r="364" spans="1:6" x14ac:dyDescent="0.55000000000000004">
      <c r="A364" s="42" t="s">
        <v>158</v>
      </c>
      <c r="B364" s="19" t="s">
        <v>159</v>
      </c>
      <c r="C364" s="13" t="s">
        <v>57</v>
      </c>
      <c r="D364" s="26">
        <v>3</v>
      </c>
      <c r="E364" s="13">
        <v>497092.63640431449</v>
      </c>
      <c r="F364" s="2">
        <f>D364*E364</f>
        <v>1491277.9092129434</v>
      </c>
    </row>
    <row r="365" spans="1:6" ht="28.2" x14ac:dyDescent="0.55000000000000004">
      <c r="A365" s="42" t="s">
        <v>158</v>
      </c>
      <c r="B365" s="19" t="s">
        <v>155</v>
      </c>
      <c r="C365" s="13" t="s">
        <v>57</v>
      </c>
      <c r="D365" s="26">
        <v>6</v>
      </c>
      <c r="E365" s="13">
        <v>34692.65767935555</v>
      </c>
      <c r="F365" s="2">
        <f>D365*E365</f>
        <v>208155.94607613329</v>
      </c>
    </row>
    <row r="366" spans="1:6" ht="28.2" x14ac:dyDescent="0.55000000000000004">
      <c r="A366" s="42" t="s">
        <v>158</v>
      </c>
      <c r="B366" s="19" t="s">
        <v>156</v>
      </c>
      <c r="C366" s="13" t="s">
        <v>57</v>
      </c>
      <c r="D366" s="26">
        <v>4</v>
      </c>
      <c r="E366" s="13">
        <v>35407.780367219268</v>
      </c>
      <c r="F366" s="2">
        <f>D366*E366</f>
        <v>141631.12146887707</v>
      </c>
    </row>
    <row r="367" spans="1:6" ht="28.2" x14ac:dyDescent="0.55000000000000004">
      <c r="A367" s="42" t="s">
        <v>158</v>
      </c>
      <c r="B367" s="19" t="s">
        <v>157</v>
      </c>
      <c r="C367" s="13" t="s">
        <v>57</v>
      </c>
      <c r="D367" s="26">
        <v>2</v>
      </c>
      <c r="E367" s="13">
        <v>55124.68499309988</v>
      </c>
      <c r="F367" s="2">
        <f>D367*E367</f>
        <v>110249.36998619976</v>
      </c>
    </row>
    <row r="368" spans="1:6" x14ac:dyDescent="0.55000000000000004">
      <c r="A368" s="42"/>
      <c r="B368" s="19"/>
      <c r="C368" s="13"/>
      <c r="D368" s="26"/>
      <c r="E368" s="13"/>
      <c r="F368" s="2"/>
    </row>
    <row r="369" spans="1:6" x14ac:dyDescent="0.55000000000000004">
      <c r="A369" s="42"/>
      <c r="B369" s="19" t="s">
        <v>61</v>
      </c>
      <c r="C369" s="13"/>
      <c r="D369" s="26"/>
      <c r="E369" s="13"/>
      <c r="F369" s="2"/>
    </row>
    <row r="370" spans="1:6" x14ac:dyDescent="0.55000000000000004">
      <c r="A370" s="42" t="s">
        <v>62</v>
      </c>
      <c r="B370" s="19" t="s">
        <v>146</v>
      </c>
      <c r="C370" s="13" t="s">
        <v>57</v>
      </c>
      <c r="D370" s="26">
        <v>12</v>
      </c>
      <c r="E370" s="13">
        <v>7406.6134437195651</v>
      </c>
      <c r="F370" s="2">
        <f t="shared" ref="F370:F377" si="12">D370*E370</f>
        <v>88879.361324634781</v>
      </c>
    </row>
    <row r="371" spans="1:6" x14ac:dyDescent="0.55000000000000004">
      <c r="A371" s="42" t="s">
        <v>62</v>
      </c>
      <c r="B371" s="19" t="s">
        <v>64</v>
      </c>
      <c r="C371" s="13" t="s">
        <v>57</v>
      </c>
      <c r="D371" s="26">
        <v>2</v>
      </c>
      <c r="E371" s="13">
        <v>14072.566802618196</v>
      </c>
      <c r="F371" s="2">
        <f t="shared" si="12"/>
        <v>28145.133605236391</v>
      </c>
    </row>
    <row r="372" spans="1:6" x14ac:dyDescent="0.55000000000000004">
      <c r="A372" s="42" t="s">
        <v>62</v>
      </c>
      <c r="B372" s="19" t="s">
        <v>65</v>
      </c>
      <c r="C372" s="13" t="s">
        <v>57</v>
      </c>
      <c r="D372" s="26">
        <v>4</v>
      </c>
      <c r="E372" s="13">
        <v>2740.4492413680773</v>
      </c>
      <c r="F372" s="2">
        <f t="shared" si="12"/>
        <v>10961.796965472309</v>
      </c>
    </row>
    <row r="373" spans="1:6" x14ac:dyDescent="0.55000000000000004">
      <c r="A373" s="42" t="s">
        <v>62</v>
      </c>
      <c r="B373" s="19" t="s">
        <v>66</v>
      </c>
      <c r="C373" s="13" t="s">
        <v>57</v>
      </c>
      <c r="D373" s="26">
        <v>1</v>
      </c>
      <c r="E373" s="13">
        <v>3110.7824326560985</v>
      </c>
      <c r="F373" s="2">
        <f t="shared" si="12"/>
        <v>3110.7824326560985</v>
      </c>
    </row>
    <row r="374" spans="1:6" x14ac:dyDescent="0.55000000000000004">
      <c r="A374" s="42" t="s">
        <v>62</v>
      </c>
      <c r="B374" s="19" t="s">
        <v>147</v>
      </c>
      <c r="C374" s="13" t="s">
        <v>57</v>
      </c>
      <c r="D374" s="26">
        <v>3</v>
      </c>
      <c r="E374" s="13">
        <v>5184.6331892567596</v>
      </c>
      <c r="F374" s="2">
        <f t="shared" si="12"/>
        <v>15553.899567770279</v>
      </c>
    </row>
    <row r="375" spans="1:6" x14ac:dyDescent="0.55000000000000004">
      <c r="A375" s="42" t="s">
        <v>62</v>
      </c>
      <c r="B375" s="19" t="s">
        <v>148</v>
      </c>
      <c r="C375" s="13" t="s">
        <v>57</v>
      </c>
      <c r="D375" s="26">
        <v>3</v>
      </c>
      <c r="E375" s="13">
        <v>8887.9399111165403</v>
      </c>
      <c r="F375" s="2">
        <f t="shared" si="12"/>
        <v>26663.819733349621</v>
      </c>
    </row>
    <row r="376" spans="1:6" x14ac:dyDescent="0.55000000000000004">
      <c r="A376" s="42" t="s">
        <v>62</v>
      </c>
      <c r="B376" s="19" t="s">
        <v>69</v>
      </c>
      <c r="C376" s="13" t="s">
        <v>57</v>
      </c>
      <c r="D376" s="26">
        <v>3</v>
      </c>
      <c r="E376" s="13">
        <v>3777.3746196684083</v>
      </c>
      <c r="F376" s="2">
        <f t="shared" si="12"/>
        <v>11332.123859005225</v>
      </c>
    </row>
    <row r="377" spans="1:6" x14ac:dyDescent="0.55000000000000004">
      <c r="A377" s="42" t="s">
        <v>62</v>
      </c>
      <c r="B377" s="19" t="s">
        <v>70</v>
      </c>
      <c r="C377" s="13" t="s">
        <v>57</v>
      </c>
      <c r="D377" s="26">
        <v>1</v>
      </c>
      <c r="E377" s="13">
        <v>25034.344874825183</v>
      </c>
      <c r="F377" s="2">
        <f t="shared" si="12"/>
        <v>25034.344874825183</v>
      </c>
    </row>
    <row r="378" spans="1:6" x14ac:dyDescent="0.55000000000000004">
      <c r="A378" s="42"/>
      <c r="B378" s="19"/>
      <c r="C378" s="13"/>
      <c r="D378" s="26"/>
      <c r="E378" s="13"/>
      <c r="F378" s="2"/>
    </row>
    <row r="379" spans="1:6" x14ac:dyDescent="0.55000000000000004">
      <c r="A379" s="43"/>
      <c r="B379" s="19" t="s">
        <v>71</v>
      </c>
      <c r="C379" s="13"/>
      <c r="D379" s="26"/>
      <c r="E379" s="13"/>
      <c r="F379" s="2"/>
    </row>
    <row r="380" spans="1:6" x14ac:dyDescent="0.55000000000000004">
      <c r="A380" s="42" t="s">
        <v>71</v>
      </c>
      <c r="B380" s="19" t="s">
        <v>72</v>
      </c>
      <c r="C380" s="13" t="s">
        <v>73</v>
      </c>
      <c r="D380" s="26">
        <v>8</v>
      </c>
      <c r="E380" s="13">
        <v>1335.3319085159669</v>
      </c>
      <c r="F380" s="2">
        <f t="shared" ref="F380:F388" si="13">D380*E380</f>
        <v>10682.655268127735</v>
      </c>
    </row>
    <row r="381" spans="1:6" x14ac:dyDescent="0.55000000000000004">
      <c r="A381" s="42" t="s">
        <v>71</v>
      </c>
      <c r="B381" s="19" t="s">
        <v>74</v>
      </c>
      <c r="C381" s="13" t="s">
        <v>73</v>
      </c>
      <c r="D381" s="26">
        <v>12</v>
      </c>
      <c r="E381" s="13">
        <v>1859.3177288946133</v>
      </c>
      <c r="F381" s="2">
        <f t="shared" si="13"/>
        <v>22311.812746735359</v>
      </c>
    </row>
    <row r="382" spans="1:6" x14ac:dyDescent="0.55000000000000004">
      <c r="A382" s="42" t="s">
        <v>71</v>
      </c>
      <c r="B382" s="19" t="s">
        <v>75</v>
      </c>
      <c r="C382" s="13" t="s">
        <v>73</v>
      </c>
      <c r="D382" s="26">
        <v>10</v>
      </c>
      <c r="E382" s="13">
        <v>2958.0051915252889</v>
      </c>
      <c r="F382" s="2">
        <f t="shared" si="13"/>
        <v>29580.051915252887</v>
      </c>
    </row>
    <row r="383" spans="1:6" x14ac:dyDescent="0.55000000000000004">
      <c r="A383" s="42" t="s">
        <v>71</v>
      </c>
      <c r="B383" s="19" t="s">
        <v>76</v>
      </c>
      <c r="C383" s="13" t="s">
        <v>73</v>
      </c>
      <c r="D383" s="26">
        <v>14</v>
      </c>
      <c r="E383" s="13">
        <v>4267.3273714510324</v>
      </c>
      <c r="F383" s="2">
        <f t="shared" si="13"/>
        <v>59742.583200314453</v>
      </c>
    </row>
    <row r="384" spans="1:6" x14ac:dyDescent="0.55000000000000004">
      <c r="A384" s="42" t="s">
        <v>71</v>
      </c>
      <c r="B384" s="19" t="s">
        <v>77</v>
      </c>
      <c r="C384" s="13" t="s">
        <v>73</v>
      </c>
      <c r="D384" s="26">
        <v>16</v>
      </c>
      <c r="E384" s="13">
        <v>5442.7277890351015</v>
      </c>
      <c r="F384" s="2">
        <f t="shared" si="13"/>
        <v>87083.644624561624</v>
      </c>
    </row>
    <row r="385" spans="1:6" x14ac:dyDescent="0.55000000000000004">
      <c r="A385" s="42" t="s">
        <v>71</v>
      </c>
      <c r="B385" s="19" t="s">
        <v>78</v>
      </c>
      <c r="C385" s="13" t="s">
        <v>73</v>
      </c>
      <c r="D385" s="26">
        <v>2</v>
      </c>
      <c r="E385" s="13">
        <v>6845.6660986203315</v>
      </c>
      <c r="F385" s="2">
        <f t="shared" si="13"/>
        <v>13691.332197240663</v>
      </c>
    </row>
    <row r="386" spans="1:6" x14ac:dyDescent="0.55000000000000004">
      <c r="A386" s="42" t="s">
        <v>71</v>
      </c>
      <c r="B386" s="19" t="s">
        <v>79</v>
      </c>
      <c r="C386" s="13" t="s">
        <v>73</v>
      </c>
      <c r="D386" s="26">
        <v>5</v>
      </c>
      <c r="E386" s="13">
        <v>9803.6649923905134</v>
      </c>
      <c r="F386" s="2">
        <f t="shared" si="13"/>
        <v>49018.324961952567</v>
      </c>
    </row>
    <row r="387" spans="1:6" x14ac:dyDescent="0.55000000000000004">
      <c r="A387" s="42" t="s">
        <v>71</v>
      </c>
      <c r="B387" s="19" t="s">
        <v>80</v>
      </c>
      <c r="C387" s="13" t="s">
        <v>73</v>
      </c>
      <c r="D387" s="26">
        <v>2</v>
      </c>
      <c r="E387" s="13">
        <v>13234.940182421065</v>
      </c>
      <c r="F387" s="2">
        <f t="shared" si="13"/>
        <v>26469.880364842131</v>
      </c>
    </row>
    <row r="388" spans="1:6" x14ac:dyDescent="0.55000000000000004">
      <c r="A388" s="42" t="s">
        <v>71</v>
      </c>
      <c r="B388" s="19" t="s">
        <v>81</v>
      </c>
      <c r="C388" s="13" t="s">
        <v>73</v>
      </c>
      <c r="D388" s="26">
        <v>14</v>
      </c>
      <c r="E388" s="13">
        <v>17028.984959856618</v>
      </c>
      <c r="F388" s="2">
        <f t="shared" si="13"/>
        <v>238405.78943799264</v>
      </c>
    </row>
    <row r="389" spans="1:6" x14ac:dyDescent="0.55000000000000004">
      <c r="A389" s="43"/>
      <c r="B389" s="19"/>
      <c r="C389" s="13"/>
      <c r="D389" s="26"/>
      <c r="E389" s="13"/>
      <c r="F389" s="2"/>
    </row>
    <row r="390" spans="1:6" x14ac:dyDescent="0.55000000000000004">
      <c r="A390" s="43"/>
      <c r="B390" s="19" t="s">
        <v>82</v>
      </c>
      <c r="C390" s="13"/>
      <c r="D390" s="26"/>
      <c r="E390" s="13"/>
      <c r="F390" s="2"/>
    </row>
    <row r="391" spans="1:6" x14ac:dyDescent="0.55000000000000004">
      <c r="A391" s="42" t="s">
        <v>82</v>
      </c>
      <c r="B391" s="19" t="s">
        <v>72</v>
      </c>
      <c r="C391" s="13" t="s">
        <v>73</v>
      </c>
      <c r="D391" s="26">
        <v>16</v>
      </c>
      <c r="E391" s="13">
        <v>273.05176815649816</v>
      </c>
      <c r="F391" s="2">
        <f t="shared" ref="F391:F399" si="14">D391*E391</f>
        <v>4368.8282905039705</v>
      </c>
    </row>
    <row r="392" spans="1:6" x14ac:dyDescent="0.55000000000000004">
      <c r="A392" s="42" t="s">
        <v>82</v>
      </c>
      <c r="B392" s="19" t="s">
        <v>74</v>
      </c>
      <c r="C392" s="13" t="s">
        <v>73</v>
      </c>
      <c r="D392" s="26">
        <v>24</v>
      </c>
      <c r="E392" s="13">
        <v>278.25371387454294</v>
      </c>
      <c r="F392" s="2">
        <f t="shared" si="14"/>
        <v>6678.089132989031</v>
      </c>
    </row>
    <row r="393" spans="1:6" x14ac:dyDescent="0.55000000000000004">
      <c r="A393" s="42" t="s">
        <v>82</v>
      </c>
      <c r="B393" s="19" t="s">
        <v>75</v>
      </c>
      <c r="C393" s="13" t="s">
        <v>73</v>
      </c>
      <c r="D393" s="26">
        <v>19</v>
      </c>
      <c r="E393" s="13">
        <v>325.05862982673278</v>
      </c>
      <c r="F393" s="2">
        <f t="shared" si="14"/>
        <v>6176.1139667079233</v>
      </c>
    </row>
    <row r="394" spans="1:6" x14ac:dyDescent="0.55000000000000004">
      <c r="A394" s="42" t="s">
        <v>82</v>
      </c>
      <c r="B394" s="19" t="s">
        <v>76</v>
      </c>
      <c r="C394" s="13" t="s">
        <v>73</v>
      </c>
      <c r="D394" s="26">
        <v>27</v>
      </c>
      <c r="E394" s="13">
        <v>396.57593681718862</v>
      </c>
      <c r="F394" s="2">
        <f t="shared" si="14"/>
        <v>10707.550294064093</v>
      </c>
    </row>
    <row r="395" spans="1:6" x14ac:dyDescent="0.55000000000000004">
      <c r="A395" s="42" t="s">
        <v>82</v>
      </c>
      <c r="B395" s="19" t="s">
        <v>77</v>
      </c>
      <c r="C395" s="13" t="s">
        <v>73</v>
      </c>
      <c r="D395" s="26">
        <v>31</v>
      </c>
      <c r="E395" s="13">
        <v>445.98182562840083</v>
      </c>
      <c r="F395" s="2">
        <f t="shared" si="14"/>
        <v>13825.436594480425</v>
      </c>
    </row>
    <row r="396" spans="1:6" x14ac:dyDescent="0.55000000000000004">
      <c r="A396" s="42" t="s">
        <v>82</v>
      </c>
      <c r="B396" s="19" t="s">
        <v>78</v>
      </c>
      <c r="C396" s="13" t="s">
        <v>73</v>
      </c>
      <c r="D396" s="26">
        <v>4</v>
      </c>
      <c r="E396" s="13">
        <v>494.09037688765517</v>
      </c>
      <c r="F396" s="2">
        <f t="shared" si="14"/>
        <v>1976.3615075506207</v>
      </c>
    </row>
    <row r="397" spans="1:6" x14ac:dyDescent="0.55000000000000004">
      <c r="A397" s="42" t="s">
        <v>82</v>
      </c>
      <c r="B397" s="19" t="s">
        <v>79</v>
      </c>
      <c r="C397" s="13" t="s">
        <v>73</v>
      </c>
      <c r="D397" s="26">
        <v>10</v>
      </c>
      <c r="E397" s="13">
        <v>533.0986720178845</v>
      </c>
      <c r="F397" s="2">
        <f t="shared" si="14"/>
        <v>5330.9867201788447</v>
      </c>
    </row>
    <row r="398" spans="1:6" x14ac:dyDescent="0.55000000000000004">
      <c r="A398" s="42" t="s">
        <v>82</v>
      </c>
      <c r="B398" s="19" t="s">
        <v>80</v>
      </c>
      <c r="C398" s="13" t="s">
        <v>73</v>
      </c>
      <c r="D398" s="26">
        <v>4</v>
      </c>
      <c r="E398" s="13">
        <v>564.29775081593993</v>
      </c>
      <c r="F398" s="2">
        <f t="shared" si="14"/>
        <v>2257.1910032637597</v>
      </c>
    </row>
    <row r="399" spans="1:6" x14ac:dyDescent="0.55000000000000004">
      <c r="A399" s="42" t="s">
        <v>82</v>
      </c>
      <c r="B399" s="19" t="s">
        <v>81</v>
      </c>
      <c r="C399" s="13" t="s">
        <v>73</v>
      </c>
      <c r="D399" s="26">
        <v>27</v>
      </c>
      <c r="E399" s="13">
        <v>637.11869311346027</v>
      </c>
      <c r="F399" s="2">
        <f t="shared" si="14"/>
        <v>17202.204714063428</v>
      </c>
    </row>
    <row r="400" spans="1:6" x14ac:dyDescent="0.55000000000000004">
      <c r="A400" s="43"/>
      <c r="B400" s="19"/>
      <c r="C400" s="13"/>
      <c r="D400" s="26"/>
      <c r="E400" s="13"/>
      <c r="F400" s="2"/>
    </row>
    <row r="401" spans="1:6" x14ac:dyDescent="0.55000000000000004">
      <c r="A401" s="42" t="s">
        <v>83</v>
      </c>
      <c r="B401" s="19" t="s">
        <v>83</v>
      </c>
      <c r="C401" s="13" t="s">
        <v>25</v>
      </c>
      <c r="D401" s="26">
        <v>1</v>
      </c>
      <c r="E401" s="13">
        <v>60874.081967050457</v>
      </c>
      <c r="F401" s="2">
        <f>D401*E401</f>
        <v>60874.081967050457</v>
      </c>
    </row>
    <row r="402" spans="1:6" x14ac:dyDescent="0.55000000000000004">
      <c r="A402" s="42"/>
      <c r="B402" s="19"/>
      <c r="C402" s="13"/>
      <c r="D402" s="26"/>
      <c r="E402" s="13"/>
      <c r="F402" s="2"/>
    </row>
    <row r="403" spans="1:6" x14ac:dyDescent="0.55000000000000004">
      <c r="A403" s="42" t="s">
        <v>84</v>
      </c>
      <c r="B403" s="19" t="s">
        <v>84</v>
      </c>
      <c r="C403" s="13" t="s">
        <v>85</v>
      </c>
      <c r="D403" s="26">
        <v>24</v>
      </c>
      <c r="E403" s="13">
        <v>2019.9923549290882</v>
      </c>
      <c r="F403" s="2">
        <f>D403*E403</f>
        <v>48479.816518298117</v>
      </c>
    </row>
    <row r="404" spans="1:6" x14ac:dyDescent="0.55000000000000004">
      <c r="A404" s="42"/>
      <c r="B404" s="19"/>
      <c r="C404" s="13"/>
      <c r="D404" s="26"/>
      <c r="E404" s="13"/>
      <c r="F404" s="2"/>
    </row>
    <row r="405" spans="1:6" x14ac:dyDescent="0.55000000000000004">
      <c r="A405" s="42" t="s">
        <v>86</v>
      </c>
      <c r="B405" s="19" t="s">
        <v>86</v>
      </c>
      <c r="C405" s="13" t="s">
        <v>25</v>
      </c>
      <c r="D405" s="26">
        <v>1</v>
      </c>
      <c r="E405" s="13">
        <v>20291.366953438592</v>
      </c>
      <c r="F405" s="2">
        <f>D405*E405</f>
        <v>20291.366953438592</v>
      </c>
    </row>
    <row r="406" spans="1:6" x14ac:dyDescent="0.55000000000000004">
      <c r="A406" s="43"/>
      <c r="B406" s="19"/>
      <c r="C406" s="13"/>
      <c r="D406" s="26"/>
      <c r="E406" s="13"/>
      <c r="F406" s="2"/>
    </row>
    <row r="407" spans="1:6" x14ac:dyDescent="0.55000000000000004">
      <c r="A407" s="42" t="s">
        <v>87</v>
      </c>
      <c r="B407" s="19" t="s">
        <v>87</v>
      </c>
      <c r="C407" s="13" t="s">
        <v>88</v>
      </c>
      <c r="D407" s="26">
        <v>3</v>
      </c>
      <c r="E407" s="13">
        <v>6059.9581715219456</v>
      </c>
      <c r="F407" s="2">
        <f>D407*E407</f>
        <v>18179.874514565836</v>
      </c>
    </row>
    <row r="408" spans="1:6" x14ac:dyDescent="0.55000000000000004">
      <c r="A408" s="42"/>
      <c r="B408" s="19"/>
      <c r="C408" s="13"/>
      <c r="D408" s="26"/>
      <c r="E408" s="13"/>
      <c r="F408" s="2"/>
    </row>
    <row r="409" spans="1:6" x14ac:dyDescent="0.55000000000000004">
      <c r="A409" s="43"/>
      <c r="B409" s="19" t="s">
        <v>89</v>
      </c>
      <c r="C409" s="13"/>
      <c r="D409" s="26"/>
      <c r="E409" s="13"/>
      <c r="F409" s="2"/>
    </row>
    <row r="410" spans="1:6" x14ac:dyDescent="0.55000000000000004">
      <c r="A410" s="42" t="s">
        <v>89</v>
      </c>
      <c r="B410" s="19" t="s">
        <v>90</v>
      </c>
      <c r="C410" s="13" t="s">
        <v>73</v>
      </c>
      <c r="D410" s="26">
        <v>31</v>
      </c>
      <c r="E410" s="13">
        <v>254.52377263290526</v>
      </c>
      <c r="F410" s="2">
        <f>D410*E410</f>
        <v>7890.2369516200633</v>
      </c>
    </row>
    <row r="411" spans="1:6" x14ac:dyDescent="0.55000000000000004">
      <c r="A411" s="42" t="s">
        <v>89</v>
      </c>
      <c r="B411" s="19" t="s">
        <v>91</v>
      </c>
      <c r="C411" s="13" t="s">
        <v>73</v>
      </c>
      <c r="D411" s="26">
        <v>38</v>
      </c>
      <c r="E411" s="13">
        <v>404.20881600637784</v>
      </c>
      <c r="F411" s="2">
        <f>D411*E411</f>
        <v>15359.935008242359</v>
      </c>
    </row>
    <row r="412" spans="1:6" x14ac:dyDescent="0.55000000000000004">
      <c r="A412" s="43"/>
      <c r="B412" s="19"/>
      <c r="C412" s="13"/>
      <c r="D412" s="26"/>
      <c r="E412" s="13"/>
      <c r="F412" s="2"/>
    </row>
    <row r="413" spans="1:6" x14ac:dyDescent="0.55000000000000004">
      <c r="A413" s="43"/>
      <c r="B413" s="19" t="s">
        <v>92</v>
      </c>
      <c r="C413" s="13"/>
      <c r="D413" s="26"/>
      <c r="E413" s="13"/>
      <c r="F413" s="2"/>
    </row>
    <row r="414" spans="1:6" x14ac:dyDescent="0.55000000000000004">
      <c r="A414" s="42" t="s">
        <v>92</v>
      </c>
      <c r="B414" s="19" t="s">
        <v>93</v>
      </c>
      <c r="C414" s="13" t="s">
        <v>73</v>
      </c>
      <c r="D414" s="26">
        <v>61</v>
      </c>
      <c r="E414" s="13">
        <v>269.33609264360905</v>
      </c>
      <c r="F414" s="2">
        <f>D414*E414</f>
        <v>16429.501651260151</v>
      </c>
    </row>
    <row r="415" spans="1:6" x14ac:dyDescent="0.55000000000000004">
      <c r="A415" s="42" t="s">
        <v>92</v>
      </c>
      <c r="B415" s="19" t="s">
        <v>94</v>
      </c>
      <c r="C415" s="13" t="s">
        <v>73</v>
      </c>
      <c r="D415" s="26">
        <v>75</v>
      </c>
      <c r="E415" s="13">
        <v>511.73668669632519</v>
      </c>
      <c r="F415" s="2">
        <f>D415*E415</f>
        <v>38380.25150222439</v>
      </c>
    </row>
    <row r="416" spans="1:6" x14ac:dyDescent="0.55000000000000004">
      <c r="A416" s="43"/>
      <c r="B416" s="19"/>
      <c r="C416" s="13"/>
      <c r="D416" s="26"/>
      <c r="E416" s="13"/>
      <c r="F416" s="2"/>
    </row>
    <row r="417" spans="1:6" x14ac:dyDescent="0.55000000000000004">
      <c r="A417" s="43"/>
      <c r="B417" s="19" t="s">
        <v>95</v>
      </c>
      <c r="C417" s="13"/>
      <c r="D417" s="26"/>
      <c r="E417" s="13"/>
      <c r="F417" s="2"/>
    </row>
    <row r="418" spans="1:6" x14ac:dyDescent="0.55000000000000004">
      <c r="A418" s="42" t="s">
        <v>96</v>
      </c>
      <c r="B418" s="19" t="s">
        <v>96</v>
      </c>
      <c r="C418" s="13" t="s">
        <v>88</v>
      </c>
      <c r="D418" s="26">
        <v>10</v>
      </c>
      <c r="E418" s="13">
        <v>19191.249900398721</v>
      </c>
      <c r="F418" s="2">
        <f>D418*E418</f>
        <v>191912.49900398721</v>
      </c>
    </row>
    <row r="419" spans="1:6" x14ac:dyDescent="0.55000000000000004">
      <c r="A419" s="43"/>
      <c r="B419" s="19"/>
      <c r="C419" s="13"/>
      <c r="D419" s="26"/>
      <c r="E419" s="13"/>
      <c r="F419" s="2"/>
    </row>
    <row r="420" spans="1:6" x14ac:dyDescent="0.55000000000000004">
      <c r="A420" s="43"/>
      <c r="B420" s="19" t="s">
        <v>97</v>
      </c>
      <c r="C420" s="13"/>
      <c r="D420" s="26"/>
      <c r="E420" s="13"/>
      <c r="F420" s="2"/>
    </row>
    <row r="421" spans="1:6" x14ac:dyDescent="0.55000000000000004">
      <c r="A421" s="42" t="s">
        <v>97</v>
      </c>
      <c r="B421" s="19" t="s">
        <v>149</v>
      </c>
      <c r="C421" s="13" t="s">
        <v>73</v>
      </c>
      <c r="D421" s="26">
        <v>2</v>
      </c>
      <c r="E421" s="13">
        <v>134.67119519935784</v>
      </c>
      <c r="F421" s="2">
        <f t="shared" ref="F421:F426" si="15">D421*E421</f>
        <v>269.34239039871568</v>
      </c>
    </row>
    <row r="422" spans="1:6" x14ac:dyDescent="0.55000000000000004">
      <c r="A422" s="42" t="s">
        <v>97</v>
      </c>
      <c r="B422" s="19" t="s">
        <v>98</v>
      </c>
      <c r="C422" s="13" t="s">
        <v>73</v>
      </c>
      <c r="D422" s="26">
        <v>11</v>
      </c>
      <c r="E422" s="13">
        <v>121.20659478146466</v>
      </c>
      <c r="F422" s="2">
        <f t="shared" si="15"/>
        <v>1333.2725425961112</v>
      </c>
    </row>
    <row r="423" spans="1:6" x14ac:dyDescent="0.55000000000000004">
      <c r="A423" s="42" t="s">
        <v>97</v>
      </c>
      <c r="B423" s="19" t="s">
        <v>99</v>
      </c>
      <c r="C423" s="13" t="s">
        <v>73</v>
      </c>
      <c r="D423" s="26">
        <v>3</v>
      </c>
      <c r="E423" s="13">
        <v>33.674096554946054</v>
      </c>
      <c r="F423" s="2">
        <f t="shared" si="15"/>
        <v>101.02228966483815</v>
      </c>
    </row>
    <row r="424" spans="1:6" x14ac:dyDescent="0.55000000000000004">
      <c r="A424" s="42" t="s">
        <v>97</v>
      </c>
      <c r="B424" s="19" t="s">
        <v>100</v>
      </c>
      <c r="C424" s="13" t="s">
        <v>73</v>
      </c>
      <c r="D424" s="26">
        <v>3</v>
      </c>
      <c r="E424" s="13">
        <v>127.93889499041124</v>
      </c>
      <c r="F424" s="2">
        <f t="shared" si="15"/>
        <v>383.81668497123371</v>
      </c>
    </row>
    <row r="425" spans="1:6" x14ac:dyDescent="0.55000000000000004">
      <c r="A425" s="42" t="s">
        <v>97</v>
      </c>
      <c r="B425" s="19" t="s">
        <v>101</v>
      </c>
      <c r="C425" s="13" t="s">
        <v>73</v>
      </c>
      <c r="D425" s="26">
        <v>7</v>
      </c>
      <c r="E425" s="13">
        <v>27.477105530059774</v>
      </c>
      <c r="F425" s="2">
        <f t="shared" si="15"/>
        <v>192.33973871041843</v>
      </c>
    </row>
    <row r="426" spans="1:6" x14ac:dyDescent="0.55000000000000004">
      <c r="A426" s="42" t="s">
        <v>97</v>
      </c>
      <c r="B426" s="19" t="s">
        <v>102</v>
      </c>
      <c r="C426" s="13" t="s">
        <v>73</v>
      </c>
      <c r="D426" s="26">
        <v>6</v>
      </c>
      <c r="E426" s="13">
        <v>134.67119519935784</v>
      </c>
      <c r="F426" s="2">
        <f t="shared" si="15"/>
        <v>808.02717119614704</v>
      </c>
    </row>
    <row r="427" spans="1:6" x14ac:dyDescent="0.55000000000000004">
      <c r="A427" s="43"/>
      <c r="B427" s="19"/>
      <c r="C427" s="13"/>
      <c r="D427" s="26"/>
      <c r="E427" s="13"/>
      <c r="F427" s="2"/>
    </row>
    <row r="428" spans="1:6" x14ac:dyDescent="0.55000000000000004">
      <c r="A428" s="43"/>
      <c r="B428" s="19" t="s">
        <v>103</v>
      </c>
      <c r="C428" s="13"/>
      <c r="D428" s="26"/>
      <c r="E428" s="13"/>
      <c r="F428" s="2"/>
    </row>
    <row r="429" spans="1:6" x14ac:dyDescent="0.55000000000000004">
      <c r="A429" s="43"/>
      <c r="B429" s="19" t="s">
        <v>104</v>
      </c>
      <c r="C429" s="13"/>
      <c r="D429" s="26"/>
      <c r="E429" s="13"/>
      <c r="F429" s="2"/>
    </row>
    <row r="430" spans="1:6" x14ac:dyDescent="0.55000000000000004">
      <c r="A430" s="42" t="s">
        <v>104</v>
      </c>
      <c r="B430" s="19" t="s">
        <v>160</v>
      </c>
      <c r="C430" s="13" t="s">
        <v>106</v>
      </c>
      <c r="D430" s="26">
        <v>78</v>
      </c>
      <c r="E430" s="13">
        <v>480.764327082107</v>
      </c>
      <c r="F430" s="2">
        <f>D430*E430</f>
        <v>37499.617512404344</v>
      </c>
    </row>
    <row r="431" spans="1:6" x14ac:dyDescent="0.55000000000000004">
      <c r="A431" s="42" t="s">
        <v>104</v>
      </c>
      <c r="B431" s="19" t="s">
        <v>107</v>
      </c>
      <c r="C431" s="13" t="s">
        <v>106</v>
      </c>
      <c r="D431" s="26">
        <v>654</v>
      </c>
      <c r="E431" s="13">
        <v>41.483312887119801</v>
      </c>
      <c r="F431" s="2">
        <f>D431*E431</f>
        <v>27130.086628176348</v>
      </c>
    </row>
    <row r="432" spans="1:6" x14ac:dyDescent="0.55000000000000004">
      <c r="A432" s="42" t="s">
        <v>104</v>
      </c>
      <c r="B432" s="19" t="s">
        <v>108</v>
      </c>
      <c r="C432" s="13" t="s">
        <v>88</v>
      </c>
      <c r="D432" s="26">
        <v>32</v>
      </c>
      <c r="E432" s="13">
        <v>20.209496137052906</v>
      </c>
      <c r="F432" s="2">
        <f>D432*E432</f>
        <v>646.70387638569298</v>
      </c>
    </row>
    <row r="433" spans="1:6" x14ac:dyDescent="0.55000000000000004">
      <c r="A433" s="43"/>
      <c r="B433" s="19" t="s">
        <v>109</v>
      </c>
      <c r="C433" s="13"/>
      <c r="D433" s="26"/>
      <c r="E433" s="13"/>
      <c r="F433" s="2"/>
    </row>
    <row r="434" spans="1:6" x14ac:dyDescent="0.55000000000000004">
      <c r="A434" s="42" t="s">
        <v>109</v>
      </c>
      <c r="B434" s="19" t="s">
        <v>110</v>
      </c>
      <c r="C434" s="13" t="s">
        <v>106</v>
      </c>
      <c r="D434" s="26">
        <v>472</v>
      </c>
      <c r="E434" s="13">
        <v>50.91105228168766</v>
      </c>
      <c r="F434" s="2">
        <f>D434*E434</f>
        <v>24030.016676956577</v>
      </c>
    </row>
    <row r="435" spans="1:6" x14ac:dyDescent="0.55000000000000004">
      <c r="A435" s="42" t="s">
        <v>109</v>
      </c>
      <c r="B435" s="19" t="s">
        <v>111</v>
      </c>
      <c r="C435" s="13" t="s">
        <v>106</v>
      </c>
      <c r="D435" s="26">
        <v>78</v>
      </c>
      <c r="E435" s="13">
        <v>48.524203096289376</v>
      </c>
      <c r="F435" s="2">
        <f>D435*E435</f>
        <v>3784.8878415105714</v>
      </c>
    </row>
    <row r="436" spans="1:6" x14ac:dyDescent="0.55000000000000004">
      <c r="A436" s="42" t="s">
        <v>109</v>
      </c>
      <c r="B436" s="19" t="s">
        <v>112</v>
      </c>
      <c r="C436" s="13" t="s">
        <v>106</v>
      </c>
      <c r="D436" s="26">
        <v>26</v>
      </c>
      <c r="E436" s="13">
        <v>75.642336585273426</v>
      </c>
      <c r="F436" s="2">
        <f>D436*E436</f>
        <v>1966.700751217109</v>
      </c>
    </row>
    <row r="437" spans="1:6" x14ac:dyDescent="0.55000000000000004">
      <c r="A437" s="42" t="s">
        <v>109</v>
      </c>
      <c r="B437" s="19" t="s">
        <v>161</v>
      </c>
      <c r="C437" s="13" t="s">
        <v>106</v>
      </c>
      <c r="D437" s="26">
        <v>59</v>
      </c>
      <c r="E437" s="13">
        <v>590.85538410043728</v>
      </c>
      <c r="F437" s="2">
        <f>D437*E437</f>
        <v>34860.467661925803</v>
      </c>
    </row>
    <row r="438" spans="1:6" x14ac:dyDescent="0.55000000000000004">
      <c r="A438" s="43"/>
      <c r="B438" s="19" t="s">
        <v>114</v>
      </c>
      <c r="C438" s="13"/>
      <c r="D438" s="26"/>
      <c r="E438" s="13"/>
      <c r="F438" s="2"/>
    </row>
    <row r="439" spans="1:6" x14ac:dyDescent="0.55000000000000004">
      <c r="A439" s="42" t="s">
        <v>109</v>
      </c>
      <c r="B439" s="19" t="s">
        <v>115</v>
      </c>
      <c r="C439" s="13" t="s">
        <v>106</v>
      </c>
      <c r="D439" s="26">
        <v>78</v>
      </c>
      <c r="E439" s="13">
        <v>47.459882483275379</v>
      </c>
      <c r="F439" s="2">
        <f>D439*E439</f>
        <v>3701.8708336954796</v>
      </c>
    </row>
    <row r="440" spans="1:6" x14ac:dyDescent="0.55000000000000004">
      <c r="A440" s="42" t="s">
        <v>109</v>
      </c>
      <c r="B440" s="19" t="s">
        <v>162</v>
      </c>
      <c r="C440" s="13" t="s">
        <v>106</v>
      </c>
      <c r="D440" s="26">
        <v>20</v>
      </c>
      <c r="E440" s="13">
        <v>195.86648157010981</v>
      </c>
      <c r="F440" s="2">
        <f>D440*E440</f>
        <v>3917.3296314021964</v>
      </c>
    </row>
    <row r="441" spans="1:6" x14ac:dyDescent="0.55000000000000004">
      <c r="A441" s="43"/>
      <c r="B441" s="19"/>
      <c r="C441" s="13"/>
      <c r="D441" s="26"/>
      <c r="E441" s="13"/>
      <c r="F441" s="2"/>
    </row>
    <row r="442" spans="1:6" x14ac:dyDescent="0.55000000000000004">
      <c r="A442" s="43"/>
      <c r="B442" s="19" t="s">
        <v>118</v>
      </c>
      <c r="C442" s="13"/>
      <c r="D442" s="26"/>
      <c r="E442" s="13"/>
      <c r="F442" s="2"/>
    </row>
    <row r="443" spans="1:6" x14ac:dyDescent="0.55000000000000004">
      <c r="A443" s="42" t="s">
        <v>118</v>
      </c>
      <c r="B443" s="19" t="s">
        <v>119</v>
      </c>
      <c r="C443" s="13" t="s">
        <v>88</v>
      </c>
      <c r="D443" s="26">
        <v>14</v>
      </c>
      <c r="E443" s="13">
        <v>1021.2198266903417</v>
      </c>
      <c r="F443" s="2">
        <f t="shared" ref="F443:F456" si="16">D443*E443</f>
        <v>14297.077573664785</v>
      </c>
    </row>
    <row r="444" spans="1:6" x14ac:dyDescent="0.55000000000000004">
      <c r="A444" s="42" t="s">
        <v>118</v>
      </c>
      <c r="B444" s="19" t="s">
        <v>120</v>
      </c>
      <c r="C444" s="13" t="s">
        <v>73</v>
      </c>
      <c r="D444" s="26">
        <v>5</v>
      </c>
      <c r="E444" s="13">
        <v>1853.9058580063488</v>
      </c>
      <c r="F444" s="2">
        <f t="shared" si="16"/>
        <v>9269.5292900317436</v>
      </c>
    </row>
    <row r="445" spans="1:6" x14ac:dyDescent="0.55000000000000004">
      <c r="A445" s="42" t="s">
        <v>118</v>
      </c>
      <c r="B445" s="19" t="s">
        <v>121</v>
      </c>
      <c r="C445" s="13" t="s">
        <v>122</v>
      </c>
      <c r="D445" s="26">
        <v>17</v>
      </c>
      <c r="E445" s="13">
        <v>204.24984324283454</v>
      </c>
      <c r="F445" s="2">
        <f t="shared" si="16"/>
        <v>3472.2473351281874</v>
      </c>
    </row>
    <row r="446" spans="1:6" x14ac:dyDescent="0.55000000000000004">
      <c r="A446" s="42" t="s">
        <v>118</v>
      </c>
      <c r="B446" s="19" t="s">
        <v>123</v>
      </c>
      <c r="C446" s="13" t="s">
        <v>124</v>
      </c>
      <c r="D446" s="26">
        <v>33</v>
      </c>
      <c r="E446" s="13">
        <v>274.95369019868883</v>
      </c>
      <c r="F446" s="2">
        <f t="shared" si="16"/>
        <v>9073.4717765567311</v>
      </c>
    </row>
    <row r="447" spans="1:6" x14ac:dyDescent="0.55000000000000004">
      <c r="A447" s="42" t="s">
        <v>118</v>
      </c>
      <c r="B447" s="19" t="s">
        <v>125</v>
      </c>
      <c r="C447" s="13" t="s">
        <v>73</v>
      </c>
      <c r="D447" s="26">
        <v>73</v>
      </c>
      <c r="E447" s="13">
        <v>125.69164604320909</v>
      </c>
      <c r="F447" s="2">
        <f t="shared" si="16"/>
        <v>9175.4901611542628</v>
      </c>
    </row>
    <row r="448" spans="1:6" x14ac:dyDescent="0.55000000000000004">
      <c r="A448" s="42" t="s">
        <v>118</v>
      </c>
      <c r="B448" s="19" t="s">
        <v>126</v>
      </c>
      <c r="C448" s="13" t="s">
        <v>88</v>
      </c>
      <c r="D448" s="26">
        <v>22</v>
      </c>
      <c r="E448" s="13">
        <v>15.716047868499693</v>
      </c>
      <c r="F448" s="2">
        <f t="shared" si="16"/>
        <v>345.75305310699326</v>
      </c>
    </row>
    <row r="449" spans="1:6" x14ac:dyDescent="0.55000000000000004">
      <c r="A449" s="42" t="s">
        <v>118</v>
      </c>
      <c r="B449" s="19" t="s">
        <v>127</v>
      </c>
      <c r="C449" s="13" t="s">
        <v>88</v>
      </c>
      <c r="D449" s="26">
        <v>22</v>
      </c>
      <c r="E449" s="13">
        <v>7.8616976247286896</v>
      </c>
      <c r="F449" s="2">
        <f t="shared" si="16"/>
        <v>172.95734774403118</v>
      </c>
    </row>
    <row r="450" spans="1:6" x14ac:dyDescent="0.55000000000000004">
      <c r="A450" s="42" t="s">
        <v>118</v>
      </c>
      <c r="B450" s="19" t="s">
        <v>128</v>
      </c>
      <c r="C450" s="13" t="s">
        <v>129</v>
      </c>
      <c r="D450" s="26">
        <v>1</v>
      </c>
      <c r="E450" s="13">
        <v>2521.6211446793336</v>
      </c>
      <c r="F450" s="2">
        <f t="shared" si="16"/>
        <v>2521.6211446793336</v>
      </c>
    </row>
    <row r="451" spans="1:6" x14ac:dyDescent="0.55000000000000004">
      <c r="A451" s="42" t="s">
        <v>118</v>
      </c>
      <c r="B451" s="19" t="s">
        <v>130</v>
      </c>
      <c r="C451" s="13" t="s">
        <v>88</v>
      </c>
      <c r="D451" s="26">
        <v>275</v>
      </c>
      <c r="E451" s="13">
        <v>31.432095736999386</v>
      </c>
      <c r="F451" s="2">
        <f t="shared" si="16"/>
        <v>8643.8263276748312</v>
      </c>
    </row>
    <row r="452" spans="1:6" x14ac:dyDescent="0.55000000000000004">
      <c r="A452" s="42" t="s">
        <v>118</v>
      </c>
      <c r="B452" s="19" t="s">
        <v>131</v>
      </c>
      <c r="C452" s="13" t="s">
        <v>132</v>
      </c>
      <c r="D452" s="26">
        <v>6</v>
      </c>
      <c r="E452" s="13">
        <v>10652.063922697465</v>
      </c>
      <c r="F452" s="2">
        <f t="shared" si="16"/>
        <v>63912.383536184789</v>
      </c>
    </row>
    <row r="453" spans="1:6" x14ac:dyDescent="0.55000000000000004">
      <c r="A453" s="42" t="s">
        <v>118</v>
      </c>
      <c r="B453" s="19" t="s">
        <v>133</v>
      </c>
      <c r="C453" s="13" t="s">
        <v>132</v>
      </c>
      <c r="D453" s="26">
        <v>3</v>
      </c>
      <c r="E453" s="13">
        <v>13354.349817745449</v>
      </c>
      <c r="F453" s="2">
        <f t="shared" si="16"/>
        <v>40063.049453236352</v>
      </c>
    </row>
    <row r="454" spans="1:6" x14ac:dyDescent="0.55000000000000004">
      <c r="A454" s="42" t="s">
        <v>118</v>
      </c>
      <c r="B454" s="19" t="s">
        <v>134</v>
      </c>
      <c r="C454" s="13" t="s">
        <v>132</v>
      </c>
      <c r="D454" s="26">
        <v>8</v>
      </c>
      <c r="E454" s="13">
        <v>597.02613447904605</v>
      </c>
      <c r="F454" s="2">
        <f t="shared" si="16"/>
        <v>4776.2090758323684</v>
      </c>
    </row>
    <row r="455" spans="1:6" x14ac:dyDescent="0.55000000000000004">
      <c r="A455" s="42" t="s">
        <v>118</v>
      </c>
      <c r="B455" s="19" t="s">
        <v>135</v>
      </c>
      <c r="C455" s="13" t="s">
        <v>88</v>
      </c>
      <c r="D455" s="26">
        <v>111</v>
      </c>
      <c r="E455" s="13">
        <v>39.286445980770388</v>
      </c>
      <c r="F455" s="2">
        <f t="shared" si="16"/>
        <v>4360.7955038655127</v>
      </c>
    </row>
    <row r="456" spans="1:6" x14ac:dyDescent="0.55000000000000004">
      <c r="A456" s="42" t="s">
        <v>118</v>
      </c>
      <c r="B456" s="19" t="s">
        <v>136</v>
      </c>
      <c r="C456" s="13" t="s">
        <v>88</v>
      </c>
      <c r="D456" s="26">
        <v>1</v>
      </c>
      <c r="E456" s="13">
        <v>157.11639439925079</v>
      </c>
      <c r="F456" s="2">
        <f t="shared" si="16"/>
        <v>157.11639439925079</v>
      </c>
    </row>
    <row r="457" spans="1:6" x14ac:dyDescent="0.55000000000000004">
      <c r="A457" s="43"/>
      <c r="B457" s="19"/>
      <c r="C457" s="13"/>
      <c r="D457" s="26"/>
      <c r="E457" s="13"/>
      <c r="F457" s="2"/>
    </row>
    <row r="458" spans="1:6" x14ac:dyDescent="0.55000000000000004">
      <c r="A458" s="42" t="s">
        <v>137</v>
      </c>
      <c r="B458" s="19" t="s">
        <v>137</v>
      </c>
      <c r="C458" s="13" t="s">
        <v>25</v>
      </c>
      <c r="D458" s="26">
        <v>1</v>
      </c>
      <c r="E458" s="13">
        <v>541758.28261910821</v>
      </c>
      <c r="F458" s="2">
        <f>D458*E458</f>
        <v>541758.28261910821</v>
      </c>
    </row>
    <row r="459" spans="1:6" x14ac:dyDescent="0.55000000000000004">
      <c r="A459" s="43"/>
      <c r="B459" s="19"/>
      <c r="C459" s="13"/>
      <c r="D459" s="26"/>
      <c r="E459" s="13"/>
      <c r="F459" s="2"/>
    </row>
    <row r="460" spans="1:6" x14ac:dyDescent="0.55000000000000004">
      <c r="A460" s="42" t="s">
        <v>138</v>
      </c>
      <c r="B460" s="19" t="s">
        <v>138</v>
      </c>
      <c r="C460" s="13" t="s">
        <v>25</v>
      </c>
      <c r="D460" s="26">
        <v>1</v>
      </c>
      <c r="E460" s="13">
        <v>5347.3577345784288</v>
      </c>
      <c r="F460" s="2">
        <f>D460*E460</f>
        <v>5347.3577345784288</v>
      </c>
    </row>
    <row r="461" spans="1:6" x14ac:dyDescent="0.55000000000000004">
      <c r="A461" s="42"/>
      <c r="B461" s="19"/>
      <c r="C461" s="13"/>
      <c r="D461" s="26"/>
      <c r="E461" s="13"/>
      <c r="F461" s="2"/>
    </row>
    <row r="462" spans="1:6" x14ac:dyDescent="0.55000000000000004">
      <c r="A462" s="42" t="s">
        <v>151</v>
      </c>
      <c r="B462" s="19" t="s">
        <v>139</v>
      </c>
      <c r="C462" s="13" t="s">
        <v>25</v>
      </c>
      <c r="D462" s="26">
        <v>1</v>
      </c>
      <c r="E462" s="13">
        <v>32505.504010632205</v>
      </c>
      <c r="F462" s="2">
        <f>D462*E462</f>
        <v>32505.504010632205</v>
      </c>
    </row>
    <row r="463" spans="1:6" x14ac:dyDescent="0.55000000000000004">
      <c r="A463" s="42"/>
      <c r="B463" s="20"/>
      <c r="C463" s="13"/>
      <c r="D463" s="26"/>
      <c r="E463" s="13"/>
      <c r="F463" s="2"/>
    </row>
    <row r="464" spans="1:6" x14ac:dyDescent="0.55000000000000004">
      <c r="A464" s="42"/>
      <c r="B464" s="20"/>
      <c r="C464" s="13"/>
      <c r="D464" s="26"/>
      <c r="E464" s="13"/>
      <c r="F464" s="2"/>
    </row>
    <row r="465" spans="1:6" x14ac:dyDescent="0.55000000000000004">
      <c r="A465" s="44"/>
      <c r="B465" s="14"/>
      <c r="C465" s="15"/>
      <c r="D465" s="25"/>
      <c r="E465" s="33"/>
      <c r="F465" s="2"/>
    </row>
    <row r="466" spans="1:6" x14ac:dyDescent="0.55000000000000004">
      <c r="A466" s="45" t="s">
        <v>163</v>
      </c>
      <c r="B466" s="17" t="s">
        <v>164</v>
      </c>
      <c r="C466" s="16"/>
      <c r="D466" s="28"/>
      <c r="E466" s="12"/>
      <c r="F466" s="2"/>
    </row>
    <row r="467" spans="1:6" x14ac:dyDescent="0.55000000000000004">
      <c r="A467" s="42"/>
      <c r="B467" s="20" t="s">
        <v>165</v>
      </c>
      <c r="C467" s="13"/>
      <c r="D467" s="27"/>
      <c r="E467" s="12"/>
      <c r="F467" s="2"/>
    </row>
    <row r="468" spans="1:6" x14ac:dyDescent="0.55000000000000004">
      <c r="A468" s="42" t="s">
        <v>166</v>
      </c>
      <c r="B468" s="20" t="s">
        <v>167</v>
      </c>
      <c r="C468" s="13"/>
      <c r="D468" s="27"/>
      <c r="E468" s="31"/>
      <c r="F468" s="2"/>
    </row>
    <row r="469" spans="1:6" x14ac:dyDescent="0.55000000000000004">
      <c r="A469" s="42"/>
      <c r="B469" s="20"/>
      <c r="C469" s="13"/>
      <c r="D469" s="27"/>
      <c r="E469" s="12"/>
      <c r="F469" s="2"/>
    </row>
    <row r="470" spans="1:6" x14ac:dyDescent="0.55000000000000004">
      <c r="A470" s="42" t="s">
        <v>168</v>
      </c>
      <c r="B470" s="20" t="s">
        <v>169</v>
      </c>
      <c r="C470" s="13"/>
      <c r="D470" s="27"/>
      <c r="E470" s="13"/>
      <c r="F470" s="2"/>
    </row>
    <row r="471" spans="1:6" x14ac:dyDescent="0.55000000000000004">
      <c r="A471" s="42"/>
      <c r="B471" s="20" t="s">
        <v>170</v>
      </c>
      <c r="C471" s="13"/>
      <c r="D471" s="27"/>
      <c r="E471" s="13"/>
      <c r="F471" s="2"/>
    </row>
    <row r="472" spans="1:6" x14ac:dyDescent="0.55000000000000004">
      <c r="A472" s="42" t="s">
        <v>109</v>
      </c>
      <c r="B472" s="20" t="s">
        <v>171</v>
      </c>
      <c r="C472" s="13" t="s">
        <v>106</v>
      </c>
      <c r="D472" s="27">
        <v>508</v>
      </c>
      <c r="E472" s="13">
        <v>5211.0270809084859</v>
      </c>
      <c r="F472" s="2">
        <f>D472*E472</f>
        <v>2647201.7571015107</v>
      </c>
    </row>
    <row r="473" spans="1:6" x14ac:dyDescent="0.55000000000000004">
      <c r="A473" s="42" t="s">
        <v>109</v>
      </c>
      <c r="B473" s="20" t="s">
        <v>172</v>
      </c>
      <c r="C473" s="13" t="s">
        <v>106</v>
      </c>
      <c r="D473" s="27">
        <v>82</v>
      </c>
      <c r="E473" s="13">
        <v>4047.7897276869458</v>
      </c>
      <c r="F473" s="2">
        <f>D473*E473</f>
        <v>331918.75767032953</v>
      </c>
    </row>
    <row r="474" spans="1:6" x14ac:dyDescent="0.55000000000000004">
      <c r="A474" s="42" t="s">
        <v>109</v>
      </c>
      <c r="B474" s="20" t="s">
        <v>173</v>
      </c>
      <c r="C474" s="13" t="s">
        <v>106</v>
      </c>
      <c r="D474" s="27">
        <v>273</v>
      </c>
      <c r="E474" s="13">
        <v>827.66777012190437</v>
      </c>
      <c r="F474" s="2">
        <f>D474*E474</f>
        <v>225953.30124327989</v>
      </c>
    </row>
    <row r="475" spans="1:6" x14ac:dyDescent="0.55000000000000004">
      <c r="A475" s="42"/>
      <c r="B475" s="20" t="s">
        <v>114</v>
      </c>
      <c r="C475" s="13"/>
      <c r="D475" s="27"/>
      <c r="E475" s="13"/>
      <c r="F475" s="2"/>
    </row>
    <row r="476" spans="1:6" x14ac:dyDescent="0.55000000000000004">
      <c r="A476" s="42" t="s">
        <v>109</v>
      </c>
      <c r="B476" s="20" t="s">
        <v>174</v>
      </c>
      <c r="C476" s="13" t="s">
        <v>106</v>
      </c>
      <c r="D476" s="27">
        <v>169</v>
      </c>
      <c r="E476" s="13">
        <v>1564.8158068450637</v>
      </c>
      <c r="F476" s="2">
        <f>D476*E476</f>
        <v>264453.87135681574</v>
      </c>
    </row>
    <row r="477" spans="1:6" x14ac:dyDescent="0.55000000000000004">
      <c r="A477" s="42" t="s">
        <v>109</v>
      </c>
      <c r="B477" s="20" t="s">
        <v>175</v>
      </c>
      <c r="C477" s="13" t="s">
        <v>106</v>
      </c>
      <c r="D477" s="27">
        <v>27</v>
      </c>
      <c r="E477" s="13">
        <v>605.19642210399775</v>
      </c>
      <c r="F477" s="2">
        <f>D477*E477</f>
        <v>16340.30339680794</v>
      </c>
    </row>
    <row r="478" spans="1:6" x14ac:dyDescent="0.55000000000000004">
      <c r="A478" s="42" t="s">
        <v>109</v>
      </c>
      <c r="B478" s="20" t="s">
        <v>176</v>
      </c>
      <c r="C478" s="13" t="s">
        <v>106</v>
      </c>
      <c r="D478" s="27">
        <v>91</v>
      </c>
      <c r="E478" s="13">
        <v>263.67546042863415</v>
      </c>
      <c r="F478" s="2">
        <f>D478*E478</f>
        <v>23994.466899005707</v>
      </c>
    </row>
    <row r="479" spans="1:6" x14ac:dyDescent="0.55000000000000004">
      <c r="A479" s="42"/>
      <c r="B479" s="20" t="s">
        <v>177</v>
      </c>
      <c r="C479" s="13"/>
      <c r="D479" s="27"/>
      <c r="E479" s="13"/>
      <c r="F479" s="2"/>
    </row>
    <row r="480" spans="1:6" x14ac:dyDescent="0.55000000000000004">
      <c r="A480" s="42" t="s">
        <v>177</v>
      </c>
      <c r="B480" s="20" t="s">
        <v>178</v>
      </c>
      <c r="C480" s="13" t="s">
        <v>73</v>
      </c>
      <c r="D480" s="27">
        <v>66</v>
      </c>
      <c r="E480" s="13">
        <v>6834.2913032719753</v>
      </c>
      <c r="F480" s="2">
        <f>D480*E480</f>
        <v>451063.22601595038</v>
      </c>
    </row>
    <row r="481" spans="1:6" x14ac:dyDescent="0.55000000000000004">
      <c r="A481" s="42" t="s">
        <v>177</v>
      </c>
      <c r="B481" s="20" t="s">
        <v>179</v>
      </c>
      <c r="C481" s="13" t="s">
        <v>73</v>
      </c>
      <c r="D481" s="27">
        <v>31</v>
      </c>
      <c r="E481" s="13">
        <v>1963.8814561810577</v>
      </c>
      <c r="F481" s="2">
        <f>D481*E481</f>
        <v>60880.32514161279</v>
      </c>
    </row>
    <row r="482" spans="1:6" x14ac:dyDescent="0.55000000000000004">
      <c r="A482" s="42"/>
      <c r="B482" s="20"/>
      <c r="C482" s="13"/>
      <c r="D482" s="27"/>
      <c r="E482" s="13"/>
      <c r="F482" s="2"/>
    </row>
    <row r="483" spans="1:6" x14ac:dyDescent="0.55000000000000004">
      <c r="A483" s="42" t="s">
        <v>180</v>
      </c>
      <c r="B483" s="20" t="s">
        <v>181</v>
      </c>
      <c r="C483" s="13"/>
      <c r="D483" s="27"/>
      <c r="E483" s="13"/>
      <c r="F483" s="2"/>
    </row>
    <row r="484" spans="1:6" x14ac:dyDescent="0.55000000000000004">
      <c r="A484" s="42" t="s">
        <v>181</v>
      </c>
      <c r="B484" s="20" t="s">
        <v>182</v>
      </c>
      <c r="C484" s="13" t="s">
        <v>183</v>
      </c>
      <c r="D484" s="27">
        <v>1</v>
      </c>
      <c r="E484" s="13">
        <v>567383.45663738751</v>
      </c>
      <c r="F484" s="2">
        <f>D484*E484</f>
        <v>567383.45663738751</v>
      </c>
    </row>
    <row r="485" spans="1:6" x14ac:dyDescent="0.55000000000000004">
      <c r="A485" s="42"/>
      <c r="B485" s="20" t="s">
        <v>184</v>
      </c>
      <c r="C485" s="13"/>
      <c r="D485" s="27"/>
      <c r="E485" s="13"/>
      <c r="F485" s="2"/>
    </row>
    <row r="486" spans="1:6" x14ac:dyDescent="0.55000000000000004">
      <c r="A486" s="42"/>
      <c r="B486" s="20" t="s">
        <v>185</v>
      </c>
      <c r="C486" s="13"/>
      <c r="D486" s="27"/>
      <c r="E486" s="13"/>
      <c r="F486" s="2"/>
    </row>
    <row r="487" spans="1:6" x14ac:dyDescent="0.55000000000000004">
      <c r="A487" s="42"/>
      <c r="B487" s="20" t="s">
        <v>186</v>
      </c>
      <c r="C487" s="13"/>
      <c r="D487" s="27"/>
      <c r="E487" s="13"/>
      <c r="F487" s="2"/>
    </row>
    <row r="488" spans="1:6" x14ac:dyDescent="0.55000000000000004">
      <c r="A488" s="42"/>
      <c r="B488" s="20"/>
      <c r="C488" s="13"/>
      <c r="D488" s="27"/>
      <c r="E488" s="13"/>
      <c r="F488" s="2"/>
    </row>
    <row r="489" spans="1:6" x14ac:dyDescent="0.55000000000000004">
      <c r="A489" s="42" t="s">
        <v>181</v>
      </c>
      <c r="B489" s="20" t="s">
        <v>187</v>
      </c>
      <c r="C489" s="13" t="s">
        <v>183</v>
      </c>
      <c r="D489" s="27">
        <v>1</v>
      </c>
      <c r="E489" s="13">
        <v>92449.971197521096</v>
      </c>
      <c r="F489" s="2">
        <f>D489*E489</f>
        <v>92449.971197521096</v>
      </c>
    </row>
    <row r="490" spans="1:6" x14ac:dyDescent="0.55000000000000004">
      <c r="A490" s="42"/>
      <c r="B490" s="20" t="s">
        <v>188</v>
      </c>
      <c r="C490" s="13"/>
      <c r="D490" s="27"/>
      <c r="E490" s="13"/>
      <c r="F490" s="2"/>
    </row>
    <row r="491" spans="1:6" x14ac:dyDescent="0.55000000000000004">
      <c r="A491" s="42"/>
      <c r="B491" s="20" t="s">
        <v>189</v>
      </c>
      <c r="C491" s="13"/>
      <c r="D491" s="27"/>
      <c r="E491" s="13"/>
      <c r="F491" s="2"/>
    </row>
    <row r="492" spans="1:6" x14ac:dyDescent="0.55000000000000004">
      <c r="A492" s="42"/>
      <c r="B492" s="20" t="s">
        <v>190</v>
      </c>
      <c r="C492" s="13"/>
      <c r="D492" s="27"/>
      <c r="E492" s="13"/>
      <c r="F492" s="2"/>
    </row>
    <row r="493" spans="1:6" x14ac:dyDescent="0.55000000000000004">
      <c r="A493" s="42"/>
      <c r="B493" s="20" t="s">
        <v>191</v>
      </c>
      <c r="C493" s="13"/>
      <c r="D493" s="27"/>
      <c r="E493" s="13"/>
      <c r="F493" s="2"/>
    </row>
    <row r="494" spans="1:6" x14ac:dyDescent="0.55000000000000004">
      <c r="A494" s="42"/>
      <c r="B494" s="20"/>
      <c r="C494" s="13"/>
      <c r="D494" s="27"/>
      <c r="E494" s="13"/>
      <c r="F494" s="2"/>
    </row>
    <row r="495" spans="1:6" x14ac:dyDescent="0.55000000000000004">
      <c r="A495" s="42" t="s">
        <v>181</v>
      </c>
      <c r="B495" s="20" t="s">
        <v>192</v>
      </c>
      <c r="C495" s="13" t="s">
        <v>183</v>
      </c>
      <c r="D495" s="27">
        <v>1</v>
      </c>
      <c r="E495" s="13">
        <v>99386.648254438493</v>
      </c>
      <c r="F495" s="2">
        <f>D495*E495</f>
        <v>99386.648254438493</v>
      </c>
    </row>
    <row r="496" spans="1:6" x14ac:dyDescent="0.55000000000000004">
      <c r="A496" s="42"/>
      <c r="B496" s="20" t="s">
        <v>188</v>
      </c>
      <c r="C496" s="13"/>
      <c r="D496" s="27"/>
      <c r="E496" s="13"/>
      <c r="F496" s="2"/>
    </row>
    <row r="497" spans="1:6" x14ac:dyDescent="0.55000000000000004">
      <c r="A497" s="42"/>
      <c r="B497" s="20" t="s">
        <v>193</v>
      </c>
      <c r="C497" s="13"/>
      <c r="D497" s="27"/>
      <c r="E497" s="13"/>
      <c r="F497" s="2"/>
    </row>
    <row r="498" spans="1:6" x14ac:dyDescent="0.55000000000000004">
      <c r="A498" s="42"/>
      <c r="B498" s="20" t="s">
        <v>194</v>
      </c>
      <c r="C498" s="13"/>
      <c r="D498" s="27"/>
      <c r="E498" s="13"/>
      <c r="F498" s="2"/>
    </row>
    <row r="499" spans="1:6" x14ac:dyDescent="0.55000000000000004">
      <c r="A499" s="42"/>
      <c r="B499" s="20" t="s">
        <v>195</v>
      </c>
      <c r="C499" s="13"/>
      <c r="D499" s="27"/>
      <c r="E499" s="13"/>
      <c r="F499" s="2"/>
    </row>
    <row r="500" spans="1:6" x14ac:dyDescent="0.55000000000000004">
      <c r="A500" s="42"/>
      <c r="B500" s="20"/>
      <c r="C500" s="13"/>
      <c r="D500" s="27"/>
      <c r="E500" s="13"/>
      <c r="F500" s="2"/>
    </row>
    <row r="501" spans="1:6" x14ac:dyDescent="0.55000000000000004">
      <c r="A501" s="42" t="s">
        <v>181</v>
      </c>
      <c r="B501" s="20" t="s">
        <v>196</v>
      </c>
      <c r="C501" s="13" t="s">
        <v>183</v>
      </c>
      <c r="D501" s="27">
        <v>1</v>
      </c>
      <c r="E501" s="13">
        <v>88308.774215719037</v>
      </c>
      <c r="F501" s="2">
        <f>D501*E501</f>
        <v>88308.774215719037</v>
      </c>
    </row>
    <row r="502" spans="1:6" x14ac:dyDescent="0.55000000000000004">
      <c r="A502" s="42"/>
      <c r="B502" s="20" t="s">
        <v>188</v>
      </c>
      <c r="C502" s="13"/>
      <c r="D502" s="27"/>
      <c r="E502" s="13"/>
      <c r="F502" s="2"/>
    </row>
    <row r="503" spans="1:6" x14ac:dyDescent="0.55000000000000004">
      <c r="A503" s="42"/>
      <c r="B503" s="20" t="s">
        <v>189</v>
      </c>
      <c r="C503" s="13"/>
      <c r="D503" s="27"/>
      <c r="E503" s="13"/>
      <c r="F503" s="2"/>
    </row>
    <row r="504" spans="1:6" x14ac:dyDescent="0.55000000000000004">
      <c r="A504" s="42"/>
      <c r="B504" s="20" t="s">
        <v>197</v>
      </c>
      <c r="C504" s="13"/>
      <c r="D504" s="27"/>
      <c r="E504" s="13"/>
      <c r="F504" s="2"/>
    </row>
    <row r="505" spans="1:6" x14ac:dyDescent="0.55000000000000004">
      <c r="A505" s="42"/>
      <c r="B505" s="20" t="s">
        <v>198</v>
      </c>
      <c r="C505" s="13"/>
      <c r="D505" s="27"/>
      <c r="E505" s="13"/>
      <c r="F505" s="2"/>
    </row>
    <row r="506" spans="1:6" x14ac:dyDescent="0.55000000000000004">
      <c r="A506" s="42"/>
      <c r="B506" s="20"/>
      <c r="C506" s="13"/>
      <c r="D506" s="27"/>
      <c r="E506" s="13"/>
      <c r="F506" s="2"/>
    </row>
    <row r="507" spans="1:6" x14ac:dyDescent="0.55000000000000004">
      <c r="A507" s="42" t="s">
        <v>181</v>
      </c>
      <c r="B507" s="20" t="s">
        <v>199</v>
      </c>
      <c r="C507" s="13" t="s">
        <v>183</v>
      </c>
      <c r="D507" s="27">
        <v>1</v>
      </c>
      <c r="E507" s="13">
        <v>96597.670611470734</v>
      </c>
      <c r="F507" s="2">
        <f>D507*E507</f>
        <v>96597.670611470734</v>
      </c>
    </row>
    <row r="508" spans="1:6" x14ac:dyDescent="0.55000000000000004">
      <c r="A508" s="42"/>
      <c r="B508" s="20" t="s">
        <v>188</v>
      </c>
      <c r="C508" s="13"/>
      <c r="D508" s="27"/>
      <c r="E508" s="13"/>
      <c r="F508" s="2"/>
    </row>
    <row r="509" spans="1:6" x14ac:dyDescent="0.55000000000000004">
      <c r="A509" s="42"/>
      <c r="B509" s="20" t="s">
        <v>200</v>
      </c>
      <c r="C509" s="13"/>
      <c r="D509" s="27"/>
      <c r="E509" s="13"/>
      <c r="F509" s="2"/>
    </row>
    <row r="510" spans="1:6" x14ac:dyDescent="0.55000000000000004">
      <c r="A510" s="42"/>
      <c r="B510" s="20" t="s">
        <v>201</v>
      </c>
      <c r="C510" s="13"/>
      <c r="D510" s="27"/>
      <c r="E510" s="13"/>
      <c r="F510" s="2"/>
    </row>
    <row r="511" spans="1:6" x14ac:dyDescent="0.55000000000000004">
      <c r="A511" s="42"/>
      <c r="B511" s="20" t="s">
        <v>202</v>
      </c>
      <c r="C511" s="13"/>
      <c r="D511" s="27"/>
      <c r="E511" s="13"/>
      <c r="F511" s="2"/>
    </row>
    <row r="512" spans="1:6" x14ac:dyDescent="0.55000000000000004">
      <c r="A512" s="42"/>
      <c r="B512" s="20"/>
      <c r="C512" s="13"/>
      <c r="D512" s="27"/>
      <c r="E512" s="13"/>
      <c r="F512" s="2"/>
    </row>
    <row r="513" spans="1:6" x14ac:dyDescent="0.55000000000000004">
      <c r="A513" s="42" t="s">
        <v>181</v>
      </c>
      <c r="B513" s="20" t="s">
        <v>203</v>
      </c>
      <c r="C513" s="13" t="s">
        <v>183</v>
      </c>
      <c r="D513" s="27">
        <v>1</v>
      </c>
      <c r="E513" s="13">
        <v>347954.01250453613</v>
      </c>
      <c r="F513" s="2">
        <f>D513*E513</f>
        <v>347954.01250453613</v>
      </c>
    </row>
    <row r="514" spans="1:6" x14ac:dyDescent="0.55000000000000004">
      <c r="A514" s="42"/>
      <c r="B514" s="20" t="s">
        <v>204</v>
      </c>
      <c r="C514" s="13"/>
      <c r="D514" s="27"/>
      <c r="E514" s="13"/>
      <c r="F514" s="2"/>
    </row>
    <row r="515" spans="1:6" x14ac:dyDescent="0.55000000000000004">
      <c r="A515" s="42"/>
      <c r="B515" s="20" t="s">
        <v>205</v>
      </c>
      <c r="C515" s="13"/>
      <c r="D515" s="27"/>
      <c r="E515" s="13"/>
      <c r="F515" s="2"/>
    </row>
    <row r="516" spans="1:6" x14ac:dyDescent="0.55000000000000004">
      <c r="A516" s="42"/>
      <c r="B516" s="20"/>
      <c r="C516" s="13"/>
      <c r="D516" s="27"/>
      <c r="E516" s="13"/>
      <c r="F516" s="2"/>
    </row>
    <row r="517" spans="1:6" x14ac:dyDescent="0.55000000000000004">
      <c r="A517" s="42"/>
      <c r="B517" s="20" t="s">
        <v>206</v>
      </c>
      <c r="C517" s="13" t="s">
        <v>183</v>
      </c>
      <c r="D517" s="27">
        <v>1</v>
      </c>
      <c r="E517" s="13">
        <v>685215.88112325058</v>
      </c>
      <c r="F517" s="2">
        <f>D517*E517</f>
        <v>685215.88112325058</v>
      </c>
    </row>
    <row r="518" spans="1:6" ht="28.2" x14ac:dyDescent="0.55000000000000004">
      <c r="A518" s="42" t="s">
        <v>206</v>
      </c>
      <c r="B518" s="20" t="s">
        <v>207</v>
      </c>
      <c r="C518" s="13"/>
      <c r="D518" s="27"/>
      <c r="E518" s="13"/>
      <c r="F518" s="2"/>
    </row>
    <row r="519" spans="1:6" x14ac:dyDescent="0.55000000000000004">
      <c r="A519" s="42"/>
      <c r="B519" s="20"/>
      <c r="C519" s="13"/>
      <c r="D519" s="27"/>
      <c r="E519" s="13"/>
      <c r="F519" s="2"/>
    </row>
    <row r="520" spans="1:6" x14ac:dyDescent="0.55000000000000004">
      <c r="A520" s="42" t="s">
        <v>208</v>
      </c>
      <c r="B520" s="20" t="s">
        <v>209</v>
      </c>
      <c r="C520" s="13" t="s">
        <v>210</v>
      </c>
      <c r="D520" s="27">
        <v>1</v>
      </c>
      <c r="E520" s="13">
        <v>221925.87110822671</v>
      </c>
      <c r="F520" s="2">
        <f>D520*E520</f>
        <v>221925.87110822671</v>
      </c>
    </row>
    <row r="521" spans="1:6" x14ac:dyDescent="0.55000000000000004">
      <c r="A521" s="42"/>
      <c r="B521" s="20"/>
      <c r="C521" s="13"/>
      <c r="D521" s="27"/>
      <c r="E521" s="13"/>
      <c r="F521" s="2"/>
    </row>
    <row r="522" spans="1:6" x14ac:dyDescent="0.55000000000000004">
      <c r="A522" s="42" t="s">
        <v>211</v>
      </c>
      <c r="B522" s="20" t="s">
        <v>212</v>
      </c>
      <c r="C522" s="13" t="s">
        <v>210</v>
      </c>
      <c r="D522" s="27">
        <v>4</v>
      </c>
      <c r="E522" s="13">
        <v>4069.1559115119094</v>
      </c>
      <c r="F522" s="2">
        <f>D522*E522</f>
        <v>16276.623646047638</v>
      </c>
    </row>
    <row r="523" spans="1:6" x14ac:dyDescent="0.55000000000000004">
      <c r="A523" s="42" t="s">
        <v>213</v>
      </c>
      <c r="B523" s="20" t="s">
        <v>213</v>
      </c>
      <c r="C523" s="13" t="s">
        <v>25</v>
      </c>
      <c r="D523" s="27">
        <v>1</v>
      </c>
      <c r="E523" s="13">
        <v>23566.489305601204</v>
      </c>
      <c r="F523" s="2">
        <f>D523*E523</f>
        <v>23566.489305601204</v>
      </c>
    </row>
    <row r="524" spans="1:6" x14ac:dyDescent="0.55000000000000004">
      <c r="A524" s="42"/>
      <c r="B524" s="20"/>
      <c r="C524" s="13"/>
      <c r="D524" s="27"/>
      <c r="E524" s="13"/>
      <c r="F524" s="2"/>
    </row>
    <row r="525" spans="1:6" x14ac:dyDescent="0.55000000000000004">
      <c r="A525" s="42" t="s">
        <v>214</v>
      </c>
      <c r="B525" s="20" t="s">
        <v>215</v>
      </c>
      <c r="C525" s="13"/>
      <c r="D525" s="27"/>
      <c r="E525" s="13"/>
      <c r="F525" s="2"/>
    </row>
    <row r="526" spans="1:6" x14ac:dyDescent="0.55000000000000004">
      <c r="A526" s="42"/>
      <c r="B526" s="20" t="s">
        <v>216</v>
      </c>
      <c r="C526" s="13"/>
      <c r="D526" s="27"/>
      <c r="E526" s="13"/>
      <c r="F526" s="2"/>
    </row>
    <row r="527" spans="1:6" x14ac:dyDescent="0.55000000000000004">
      <c r="A527" s="42" t="s">
        <v>208</v>
      </c>
      <c r="B527" s="20" t="s">
        <v>217</v>
      </c>
      <c r="C527" s="13" t="s">
        <v>210</v>
      </c>
      <c r="D527" s="27">
        <v>3</v>
      </c>
      <c r="E527" s="13">
        <v>21321.445622312203</v>
      </c>
      <c r="F527" s="2">
        <f>D527*E527</f>
        <v>63964.33686693661</v>
      </c>
    </row>
    <row r="528" spans="1:6" x14ac:dyDescent="0.55000000000000004">
      <c r="A528" s="42" t="s">
        <v>208</v>
      </c>
      <c r="B528" s="20" t="s">
        <v>218</v>
      </c>
      <c r="C528" s="13" t="s">
        <v>210</v>
      </c>
      <c r="D528" s="27">
        <v>5</v>
      </c>
      <c r="E528" s="13">
        <v>8143.719495408679</v>
      </c>
      <c r="F528" s="2">
        <f>D528*E528</f>
        <v>40718.597477043397</v>
      </c>
    </row>
    <row r="529" spans="1:6" x14ac:dyDescent="0.55000000000000004">
      <c r="A529" s="42" t="s">
        <v>208</v>
      </c>
      <c r="B529" s="20" t="s">
        <v>219</v>
      </c>
      <c r="C529" s="13" t="s">
        <v>210</v>
      </c>
      <c r="D529" s="27">
        <v>11</v>
      </c>
      <c r="E529" s="13">
        <v>6928.0071473873168</v>
      </c>
      <c r="F529" s="2">
        <f>D529*E529</f>
        <v>76208.078621260487</v>
      </c>
    </row>
    <row r="530" spans="1:6" x14ac:dyDescent="0.55000000000000004">
      <c r="A530" s="42" t="s">
        <v>208</v>
      </c>
      <c r="B530" s="20" t="s">
        <v>220</v>
      </c>
      <c r="C530" s="13" t="s">
        <v>210</v>
      </c>
      <c r="D530" s="27">
        <v>16</v>
      </c>
      <c r="E530" s="13">
        <v>6928.0071473873149</v>
      </c>
      <c r="F530" s="2">
        <f>D530*E530</f>
        <v>110848.11435819704</v>
      </c>
    </row>
    <row r="531" spans="1:6" x14ac:dyDescent="0.55000000000000004">
      <c r="A531" s="42"/>
      <c r="B531" s="20" t="s">
        <v>177</v>
      </c>
      <c r="C531" s="13"/>
      <c r="D531" s="27"/>
      <c r="E531" s="13"/>
      <c r="F531" s="2"/>
    </row>
    <row r="532" spans="1:6" x14ac:dyDescent="0.55000000000000004">
      <c r="A532" s="42" t="s">
        <v>177</v>
      </c>
      <c r="B532" s="20" t="s">
        <v>179</v>
      </c>
      <c r="C532" s="13" t="s">
        <v>73</v>
      </c>
      <c r="D532" s="27">
        <v>34</v>
      </c>
      <c r="E532" s="13">
        <v>1963.8814561810582</v>
      </c>
      <c r="F532" s="2">
        <f>D532*E532</f>
        <v>66771.969510155977</v>
      </c>
    </row>
    <row r="533" spans="1:6" x14ac:dyDescent="0.55000000000000004">
      <c r="A533" s="42" t="s">
        <v>177</v>
      </c>
      <c r="B533" s="20" t="s">
        <v>221</v>
      </c>
      <c r="C533" s="13" t="s">
        <v>73</v>
      </c>
      <c r="D533" s="27">
        <v>702</v>
      </c>
      <c r="E533" s="13">
        <v>1288.3118192643021</v>
      </c>
      <c r="F533" s="2">
        <f>D533*E533</f>
        <v>904394.89712354005</v>
      </c>
    </row>
    <row r="534" spans="1:6" x14ac:dyDescent="0.55000000000000004">
      <c r="A534" s="42" t="s">
        <v>177</v>
      </c>
      <c r="B534" s="20" t="s">
        <v>222</v>
      </c>
      <c r="C534" s="13"/>
      <c r="D534" s="27"/>
      <c r="E534" s="13"/>
      <c r="F534" s="2"/>
    </row>
    <row r="535" spans="1:6" x14ac:dyDescent="0.55000000000000004">
      <c r="A535" s="42" t="s">
        <v>177</v>
      </c>
      <c r="B535" s="20" t="s">
        <v>223</v>
      </c>
      <c r="C535" s="13" t="s">
        <v>85</v>
      </c>
      <c r="D535" s="27">
        <v>137</v>
      </c>
      <c r="E535" s="13">
        <v>92.466789352533254</v>
      </c>
      <c r="F535" s="2">
        <f>D535*E535</f>
        <v>12667.950141297057</v>
      </c>
    </row>
    <row r="536" spans="1:6" x14ac:dyDescent="0.55000000000000004">
      <c r="A536" s="42"/>
      <c r="B536" s="20" t="s">
        <v>224</v>
      </c>
      <c r="C536" s="13"/>
      <c r="D536" s="27"/>
      <c r="E536" s="13"/>
      <c r="F536" s="2"/>
    </row>
    <row r="537" spans="1:6" x14ac:dyDescent="0.55000000000000004">
      <c r="A537" s="42" t="s">
        <v>109</v>
      </c>
      <c r="B537" s="20" t="s">
        <v>225</v>
      </c>
      <c r="C537" s="13" t="s">
        <v>226</v>
      </c>
      <c r="D537" s="27">
        <v>300</v>
      </c>
      <c r="E537" s="13">
        <v>1025.6209078839984</v>
      </c>
      <c r="F537" s="2">
        <f>D537*E537</f>
        <v>307686.27236519952</v>
      </c>
    </row>
    <row r="538" spans="1:6" x14ac:dyDescent="0.55000000000000004">
      <c r="A538" s="42" t="s">
        <v>109</v>
      </c>
      <c r="B538" s="20" t="s">
        <v>227</v>
      </c>
      <c r="C538" s="13" t="s">
        <v>226</v>
      </c>
      <c r="D538" s="27">
        <v>4759</v>
      </c>
      <c r="E538" s="13">
        <v>105.89780174319125</v>
      </c>
      <c r="F538" s="2">
        <f>D538*E538</f>
        <v>503967.63849584718</v>
      </c>
    </row>
    <row r="539" spans="1:6" x14ac:dyDescent="0.55000000000000004">
      <c r="A539" s="42"/>
      <c r="B539" s="20" t="s">
        <v>114</v>
      </c>
      <c r="C539" s="13"/>
      <c r="D539" s="27"/>
      <c r="E539" s="13"/>
      <c r="F539" s="2"/>
    </row>
    <row r="540" spans="1:6" x14ac:dyDescent="0.55000000000000004">
      <c r="A540" s="42" t="s">
        <v>109</v>
      </c>
      <c r="B540" s="20" t="s">
        <v>176</v>
      </c>
      <c r="C540" s="13" t="s">
        <v>226</v>
      </c>
      <c r="D540" s="27">
        <v>100</v>
      </c>
      <c r="E540" s="13">
        <v>263.67546042863415</v>
      </c>
      <c r="F540" s="2">
        <f>D540*E540</f>
        <v>26367.546042863414</v>
      </c>
    </row>
    <row r="541" spans="1:6" x14ac:dyDescent="0.55000000000000004">
      <c r="A541" s="42" t="s">
        <v>109</v>
      </c>
      <c r="B541" s="20" t="s">
        <v>227</v>
      </c>
      <c r="C541" s="13" t="s">
        <v>226</v>
      </c>
      <c r="D541" s="27">
        <v>2230</v>
      </c>
      <c r="E541" s="13">
        <v>105.89780174319127</v>
      </c>
      <c r="F541" s="2">
        <f>D541*E541</f>
        <v>236152.09788731651</v>
      </c>
    </row>
    <row r="542" spans="1:6" x14ac:dyDescent="0.55000000000000004">
      <c r="A542" s="42"/>
      <c r="B542" s="20"/>
      <c r="C542" s="13"/>
      <c r="D542" s="27"/>
      <c r="E542" s="13"/>
      <c r="F542" s="2"/>
    </row>
    <row r="543" spans="1:6" x14ac:dyDescent="0.55000000000000004">
      <c r="A543" s="42" t="str">
        <f>B543</f>
        <v>Chipping &amp; Restoration Works (Rough only)</v>
      </c>
      <c r="B543" s="20" t="s">
        <v>228</v>
      </c>
      <c r="C543" s="13" t="s">
        <v>25</v>
      </c>
      <c r="D543" s="27">
        <v>1</v>
      </c>
      <c r="E543" s="13">
        <v>106861.10951317307</v>
      </c>
      <c r="F543" s="2">
        <f>D543*E543</f>
        <v>106861.10951317307</v>
      </c>
    </row>
    <row r="544" spans="1:6" x14ac:dyDescent="0.55000000000000004">
      <c r="A544" s="42" t="str">
        <f t="shared" ref="A544:A546" si="17">B544</f>
        <v>Hangers &amp; Supports</v>
      </c>
      <c r="B544" s="20" t="s">
        <v>229</v>
      </c>
      <c r="C544" s="13" t="s">
        <v>25</v>
      </c>
      <c r="D544" s="27">
        <v>1</v>
      </c>
      <c r="E544" s="13">
        <v>128233.33288528389</v>
      </c>
      <c r="F544" s="2">
        <f>D544*E544</f>
        <v>128233.33288528389</v>
      </c>
    </row>
    <row r="545" spans="1:6" x14ac:dyDescent="0.55000000000000004">
      <c r="A545" s="42" t="str">
        <f t="shared" si="17"/>
        <v>Miscelleneuos</v>
      </c>
      <c r="B545" s="20" t="s">
        <v>230</v>
      </c>
      <c r="C545" s="13" t="s">
        <v>25</v>
      </c>
      <c r="D545" s="27">
        <v>1</v>
      </c>
      <c r="E545" s="13">
        <v>64116.670116332418</v>
      </c>
      <c r="F545" s="2">
        <f>D545*E545</f>
        <v>64116.670116332418</v>
      </c>
    </row>
    <row r="546" spans="1:6" x14ac:dyDescent="0.55000000000000004">
      <c r="A546" s="42" t="str">
        <f t="shared" si="17"/>
        <v>Testing &amp; Commissioning</v>
      </c>
      <c r="B546" s="20" t="s">
        <v>231</v>
      </c>
      <c r="C546" s="13" t="s">
        <v>25</v>
      </c>
      <c r="D546" s="27">
        <v>1</v>
      </c>
      <c r="E546" s="13">
        <v>650109.94061240589</v>
      </c>
      <c r="F546" s="2">
        <f>D546*E546</f>
        <v>650109.94061240589</v>
      </c>
    </row>
    <row r="547" spans="1:6" x14ac:dyDescent="0.55000000000000004">
      <c r="A547" s="1"/>
      <c r="B547" s="3"/>
      <c r="C547" s="1"/>
      <c r="D547" s="24"/>
      <c r="E547" s="13"/>
      <c r="F547" s="2"/>
    </row>
    <row r="548" spans="1:6" x14ac:dyDescent="0.55000000000000004">
      <c r="A548" s="21"/>
      <c r="B548" s="21"/>
      <c r="C548" s="2"/>
      <c r="D548" s="24"/>
      <c r="E548" s="12"/>
      <c r="F548" s="2"/>
    </row>
    <row r="549" spans="1:6" x14ac:dyDescent="0.55000000000000004">
      <c r="A549" s="3"/>
      <c r="B549" s="3" t="s">
        <v>232</v>
      </c>
      <c r="C549" s="3"/>
      <c r="D549" s="29"/>
      <c r="E549" s="34"/>
      <c r="F549" s="35">
        <f>SUM(F9:F546)</f>
        <v>27956884.689999994</v>
      </c>
    </row>
  </sheetData>
  <mergeCells count="2">
    <mergeCell ref="A6:F6"/>
    <mergeCell ref="C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BENCHMARK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 burns diagono</cp:lastModifiedBy>
  <dcterms:created xsi:type="dcterms:W3CDTF">2026-06-22T18:41:32Z</dcterms:created>
  <dcterms:modified xsi:type="dcterms:W3CDTF">2026-06-22T19:08:39Z</dcterms:modified>
</cp:coreProperties>
</file>