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docs\"/>
    </mc:Choice>
  </mc:AlternateContent>
  <xr:revisionPtr revIDLastSave="0" documentId="8_{322DF0C0-1974-49BE-8BD8-0B247AA8EC7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_DATA_ENTRY" sheetId="1" r:id="rId1"/>
    <sheet name="Instructions" sheetId="2" r:id="rId2"/>
    <sheet name="App_Field_Map" sheetId="3" r:id="rId3"/>
    <sheet name="Refere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3" i="1"/>
  <c r="H14" i="1"/>
  <c r="H15" i="1"/>
  <c r="H16" i="1"/>
  <c r="H17" i="1"/>
  <c r="H19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 l="1"/>
  <c r="N152" i="1" s="1"/>
  <c r="J151" i="1"/>
  <c r="I151" i="1"/>
  <c r="K151" i="1" s="1"/>
  <c r="L151" i="1" s="1"/>
  <c r="N151" i="1" s="1"/>
  <c r="J149" i="1"/>
  <c r="I149" i="1"/>
  <c r="J147" i="1"/>
  <c r="I147" i="1"/>
  <c r="K147" i="1" s="1"/>
  <c r="L147" i="1" s="1"/>
  <c r="N147" i="1" s="1"/>
  <c r="J145" i="1"/>
  <c r="I145" i="1"/>
  <c r="J143" i="1"/>
  <c r="I143" i="1"/>
  <c r="J141" i="1"/>
  <c r="I141" i="1"/>
  <c r="J139" i="1"/>
  <c r="I139" i="1"/>
  <c r="J137" i="1"/>
  <c r="I137" i="1"/>
  <c r="J135" i="1"/>
  <c r="I135" i="1"/>
  <c r="K135" i="1" s="1"/>
  <c r="L135" i="1" s="1"/>
  <c r="N135" i="1" s="1"/>
  <c r="J133" i="1"/>
  <c r="I133" i="1"/>
  <c r="J131" i="1"/>
  <c r="I131" i="1"/>
  <c r="K131" i="1" s="1"/>
  <c r="L131" i="1" s="1"/>
  <c r="N131" i="1" s="1"/>
  <c r="J129" i="1"/>
  <c r="I129" i="1"/>
  <c r="J127" i="1"/>
  <c r="I127" i="1"/>
  <c r="J125" i="1"/>
  <c r="I125" i="1"/>
  <c r="J123" i="1"/>
  <c r="I123" i="1"/>
  <c r="K123" i="1" s="1"/>
  <c r="L123" i="1" s="1"/>
  <c r="N123" i="1" s="1"/>
  <c r="J121" i="1"/>
  <c r="I121" i="1"/>
  <c r="J119" i="1"/>
  <c r="I119" i="1"/>
  <c r="K119" i="1" s="1"/>
  <c r="L119" i="1" s="1"/>
  <c r="N119" i="1" s="1"/>
  <c r="J117" i="1"/>
  <c r="I117" i="1"/>
  <c r="J115" i="1"/>
  <c r="I115" i="1"/>
  <c r="K115" i="1" s="1"/>
  <c r="L115" i="1" s="1"/>
  <c r="N115" i="1" s="1"/>
  <c r="J113" i="1"/>
  <c r="I113" i="1"/>
  <c r="J111" i="1"/>
  <c r="I111" i="1"/>
  <c r="J109" i="1"/>
  <c r="I109" i="1"/>
  <c r="J107" i="1"/>
  <c r="I107" i="1"/>
  <c r="K107" i="1" s="1"/>
  <c r="L107" i="1" s="1"/>
  <c r="N107" i="1" s="1"/>
  <c r="I105" i="1"/>
  <c r="J105" i="1"/>
  <c r="I103" i="1"/>
  <c r="J103" i="1"/>
  <c r="I101" i="1"/>
  <c r="J101" i="1"/>
  <c r="I99" i="1"/>
  <c r="J99" i="1"/>
  <c r="I97" i="1"/>
  <c r="J97" i="1"/>
  <c r="I95" i="1"/>
  <c r="J95" i="1"/>
  <c r="I93" i="1"/>
  <c r="J93" i="1"/>
  <c r="I91" i="1"/>
  <c r="J91" i="1"/>
  <c r="I89" i="1"/>
  <c r="J89" i="1"/>
  <c r="I87" i="1"/>
  <c r="J87" i="1"/>
  <c r="I85" i="1"/>
  <c r="J85" i="1"/>
  <c r="I83" i="1"/>
  <c r="J83" i="1"/>
  <c r="I81" i="1"/>
  <c r="J81" i="1"/>
  <c r="I79" i="1"/>
  <c r="J79" i="1"/>
  <c r="I77" i="1"/>
  <c r="J77" i="1"/>
  <c r="I75" i="1"/>
  <c r="J75" i="1"/>
  <c r="I73" i="1"/>
  <c r="J73" i="1"/>
  <c r="I71" i="1"/>
  <c r="J71" i="1"/>
  <c r="I69" i="1"/>
  <c r="J69" i="1"/>
  <c r="I67" i="1"/>
  <c r="J67" i="1"/>
  <c r="I65" i="1"/>
  <c r="J65" i="1"/>
  <c r="I63" i="1"/>
  <c r="J63" i="1"/>
  <c r="I61" i="1"/>
  <c r="J61" i="1"/>
  <c r="I59" i="1"/>
  <c r="J59" i="1"/>
  <c r="I57" i="1"/>
  <c r="J57" i="1"/>
  <c r="I55" i="1"/>
  <c r="J55" i="1"/>
  <c r="I53" i="1"/>
  <c r="J53" i="1"/>
  <c r="I51" i="1"/>
  <c r="J51" i="1"/>
  <c r="I49" i="1"/>
  <c r="J49" i="1"/>
  <c r="I47" i="1"/>
  <c r="J47" i="1"/>
  <c r="I45" i="1"/>
  <c r="J45" i="1"/>
  <c r="I43" i="1"/>
  <c r="J43" i="1"/>
  <c r="I41" i="1"/>
  <c r="J41" i="1"/>
  <c r="I39" i="1"/>
  <c r="J39" i="1"/>
  <c r="I37" i="1"/>
  <c r="J37" i="1"/>
  <c r="I35" i="1"/>
  <c r="J35" i="1"/>
  <c r="I33" i="1"/>
  <c r="J33" i="1"/>
  <c r="J31" i="1"/>
  <c r="J30" i="1"/>
  <c r="I30" i="1"/>
  <c r="K30" i="1" s="1"/>
  <c r="J28" i="1"/>
  <c r="I28" i="1"/>
  <c r="J26" i="1"/>
  <c r="I26" i="1"/>
  <c r="K26" i="1" s="1"/>
  <c r="J24" i="1"/>
  <c r="I24" i="1"/>
  <c r="K24" i="1" s="1"/>
  <c r="J22" i="1"/>
  <c r="I22" i="1"/>
  <c r="J16" i="1"/>
  <c r="I16" i="1"/>
  <c r="J14" i="1"/>
  <c r="I14" i="1"/>
  <c r="K14" i="1" s="1"/>
  <c r="J10" i="1"/>
  <c r="I10" i="1"/>
  <c r="K10" i="1" s="1"/>
  <c r="J8" i="1"/>
  <c r="I8" i="1"/>
  <c r="K8" i="1" s="1"/>
  <c r="J6" i="1"/>
  <c r="I6" i="1"/>
  <c r="K6" i="1" s="1"/>
  <c r="K95" i="1" l="1"/>
  <c r="L95" i="1" s="1"/>
  <c r="N95" i="1" s="1"/>
  <c r="K22" i="1"/>
  <c r="K47" i="1"/>
  <c r="L47" i="1" s="1"/>
  <c r="N47" i="1" s="1"/>
  <c r="K49" i="1"/>
  <c r="L49" i="1" s="1"/>
  <c r="N49" i="1" s="1"/>
  <c r="K79" i="1"/>
  <c r="K59" i="1"/>
  <c r="L59" i="1" s="1"/>
  <c r="N59" i="1" s="1"/>
  <c r="I152" i="1"/>
  <c r="K71" i="1"/>
  <c r="L71" i="1" s="1"/>
  <c r="N71" i="1" s="1"/>
  <c r="M71" i="1" s="1"/>
  <c r="J152" i="1"/>
  <c r="K152" i="1"/>
  <c r="L152" i="1"/>
  <c r="K83" i="1"/>
  <c r="L83" i="1" s="1"/>
  <c r="N83" i="1" s="1"/>
  <c r="M83" i="1" s="1"/>
  <c r="K87" i="1"/>
  <c r="L87" i="1" s="1"/>
  <c r="N87" i="1" s="1"/>
  <c r="M87" i="1" s="1"/>
  <c r="K28" i="1"/>
  <c r="L28" i="1" s="1"/>
  <c r="N28" i="1" s="1"/>
  <c r="K75" i="1"/>
  <c r="L75" i="1" s="1"/>
  <c r="N75" i="1" s="1"/>
  <c r="M75" i="1" s="1"/>
  <c r="K16" i="1"/>
  <c r="L16" i="1" s="1"/>
  <c r="N16" i="1" s="1"/>
  <c r="K111" i="1"/>
  <c r="L111" i="1" s="1"/>
  <c r="N111" i="1" s="1"/>
  <c r="M111" i="1" s="1"/>
  <c r="K127" i="1"/>
  <c r="L127" i="1" s="1"/>
  <c r="N127" i="1" s="1"/>
  <c r="M127" i="1" s="1"/>
  <c r="K143" i="1"/>
  <c r="L143" i="1" s="1"/>
  <c r="N143" i="1" s="1"/>
  <c r="L79" i="1"/>
  <c r="N79" i="1" s="1"/>
  <c r="M79" i="1" s="1"/>
  <c r="K63" i="1"/>
  <c r="L63" i="1" s="1"/>
  <c r="N63" i="1" s="1"/>
  <c r="M63" i="1" s="1"/>
  <c r="K45" i="1"/>
  <c r="L45" i="1" s="1"/>
  <c r="N45" i="1" s="1"/>
  <c r="M45" i="1" s="1"/>
  <c r="K85" i="1"/>
  <c r="L85" i="1" s="1"/>
  <c r="N85" i="1" s="1"/>
  <c r="M85" i="1" s="1"/>
  <c r="K99" i="1"/>
  <c r="L99" i="1" s="1"/>
  <c r="N99" i="1" s="1"/>
  <c r="M99" i="1" s="1"/>
  <c r="K103" i="1"/>
  <c r="L103" i="1" s="1"/>
  <c r="N103" i="1" s="1"/>
  <c r="M103" i="1" s="1"/>
  <c r="K89" i="1"/>
  <c r="L89" i="1" s="1"/>
  <c r="N89" i="1" s="1"/>
  <c r="M89" i="1" s="1"/>
  <c r="K105" i="1"/>
  <c r="L105" i="1" s="1"/>
  <c r="N105" i="1" s="1"/>
  <c r="M105" i="1" s="1"/>
  <c r="K67" i="1"/>
  <c r="L67" i="1" s="1"/>
  <c r="N67" i="1" s="1"/>
  <c r="M67" i="1" s="1"/>
  <c r="K37" i="1"/>
  <c r="L37" i="1" s="1"/>
  <c r="N37" i="1" s="1"/>
  <c r="M37" i="1" s="1"/>
  <c r="K53" i="1"/>
  <c r="L53" i="1" s="1"/>
  <c r="N53" i="1" s="1"/>
  <c r="M53" i="1" s="1"/>
  <c r="K55" i="1"/>
  <c r="L55" i="1" s="1"/>
  <c r="N55" i="1" s="1"/>
  <c r="M55" i="1" s="1"/>
  <c r="K91" i="1"/>
  <c r="L91" i="1" s="1"/>
  <c r="N91" i="1" s="1"/>
  <c r="M91" i="1" s="1"/>
  <c r="K139" i="1"/>
  <c r="L139" i="1" s="1"/>
  <c r="N139" i="1" s="1"/>
  <c r="M139" i="1" s="1"/>
  <c r="K43" i="1"/>
  <c r="L43" i="1" s="1"/>
  <c r="N43" i="1" s="1"/>
  <c r="M43" i="1" s="1"/>
  <c r="K39" i="1"/>
  <c r="L39" i="1" s="1"/>
  <c r="N39" i="1" s="1"/>
  <c r="M39" i="1" s="1"/>
  <c r="K51" i="1"/>
  <c r="L51" i="1" s="1"/>
  <c r="N51" i="1" s="1"/>
  <c r="M51" i="1" s="1"/>
  <c r="K41" i="1"/>
  <c r="L41" i="1" s="1"/>
  <c r="N41" i="1" s="1"/>
  <c r="M41" i="1" s="1"/>
  <c r="K57" i="1"/>
  <c r="L57" i="1" s="1"/>
  <c r="N57" i="1" s="1"/>
  <c r="M57" i="1" s="1"/>
  <c r="K61" i="1"/>
  <c r="L61" i="1" s="1"/>
  <c r="N61" i="1" s="1"/>
  <c r="M61" i="1" s="1"/>
  <c r="K65" i="1"/>
  <c r="L65" i="1" s="1"/>
  <c r="N65" i="1" s="1"/>
  <c r="M65" i="1" s="1"/>
  <c r="K69" i="1"/>
  <c r="L69" i="1" s="1"/>
  <c r="N69" i="1" s="1"/>
  <c r="M69" i="1" s="1"/>
  <c r="K73" i="1"/>
  <c r="L73" i="1" s="1"/>
  <c r="N73" i="1" s="1"/>
  <c r="M73" i="1" s="1"/>
  <c r="K77" i="1"/>
  <c r="L77" i="1" s="1"/>
  <c r="N77" i="1" s="1"/>
  <c r="M77" i="1" s="1"/>
  <c r="K81" i="1"/>
  <c r="L81" i="1" s="1"/>
  <c r="N81" i="1" s="1"/>
  <c r="M81" i="1" s="1"/>
  <c r="K93" i="1"/>
  <c r="L93" i="1" s="1"/>
  <c r="N93" i="1" s="1"/>
  <c r="M93" i="1" s="1"/>
  <c r="K97" i="1"/>
  <c r="L97" i="1" s="1"/>
  <c r="N97" i="1" s="1"/>
  <c r="M97" i="1" s="1"/>
  <c r="K101" i="1"/>
  <c r="L101" i="1" s="1"/>
  <c r="N101" i="1" s="1"/>
  <c r="M101" i="1" s="1"/>
  <c r="K109" i="1"/>
  <c r="L109" i="1" s="1"/>
  <c r="N109" i="1" s="1"/>
  <c r="M109" i="1" s="1"/>
  <c r="K113" i="1"/>
  <c r="L113" i="1" s="1"/>
  <c r="N113" i="1" s="1"/>
  <c r="M113" i="1" s="1"/>
  <c r="K117" i="1"/>
  <c r="L117" i="1" s="1"/>
  <c r="N117" i="1" s="1"/>
  <c r="M117" i="1" s="1"/>
  <c r="K121" i="1"/>
  <c r="L121" i="1" s="1"/>
  <c r="N121" i="1" s="1"/>
  <c r="M121" i="1" s="1"/>
  <c r="K125" i="1"/>
  <c r="L125" i="1" s="1"/>
  <c r="N125" i="1" s="1"/>
  <c r="M125" i="1" s="1"/>
  <c r="K129" i="1"/>
  <c r="L129" i="1" s="1"/>
  <c r="N129" i="1" s="1"/>
  <c r="M129" i="1" s="1"/>
  <c r="K133" i="1"/>
  <c r="L133" i="1" s="1"/>
  <c r="N133" i="1" s="1"/>
  <c r="M133" i="1" s="1"/>
  <c r="K137" i="1"/>
  <c r="L137" i="1" s="1"/>
  <c r="N137" i="1" s="1"/>
  <c r="M137" i="1" s="1"/>
  <c r="K141" i="1"/>
  <c r="L141" i="1" s="1"/>
  <c r="N141" i="1" s="1"/>
  <c r="M141" i="1" s="1"/>
  <c r="K145" i="1"/>
  <c r="L145" i="1" s="1"/>
  <c r="N145" i="1" s="1"/>
  <c r="M145" i="1" s="1"/>
  <c r="K149" i="1"/>
  <c r="L149" i="1" s="1"/>
  <c r="N149" i="1" s="1"/>
  <c r="M149" i="1" s="1"/>
  <c r="J34" i="1"/>
  <c r="I34" i="1"/>
  <c r="L6" i="1"/>
  <c r="N6" i="1" s="1"/>
  <c r="L8" i="1"/>
  <c r="N8" i="1" s="1"/>
  <c r="L10" i="1"/>
  <c r="N10" i="1" s="1"/>
  <c r="L14" i="1"/>
  <c r="N14" i="1" s="1"/>
  <c r="L22" i="1"/>
  <c r="N22" i="1" s="1"/>
  <c r="L24" i="1"/>
  <c r="N24" i="1" s="1"/>
  <c r="L26" i="1"/>
  <c r="N26" i="1" s="1"/>
  <c r="L30" i="1"/>
  <c r="N30" i="1" s="1"/>
  <c r="K35" i="1"/>
  <c r="L35" i="1" s="1"/>
  <c r="N35" i="1" s="1"/>
  <c r="M35" i="1" s="1"/>
  <c r="I7" i="1"/>
  <c r="I9" i="1"/>
  <c r="I11" i="1"/>
  <c r="I13" i="1"/>
  <c r="I15" i="1"/>
  <c r="I17" i="1"/>
  <c r="I19" i="1"/>
  <c r="I21" i="1"/>
  <c r="I23" i="1"/>
  <c r="I25" i="1"/>
  <c r="I27" i="1"/>
  <c r="I29" i="1"/>
  <c r="I31" i="1"/>
  <c r="K31" i="1" s="1"/>
  <c r="L31" i="1" s="1"/>
  <c r="N31" i="1" s="1"/>
  <c r="J36" i="1"/>
  <c r="I36" i="1"/>
  <c r="H153" i="1"/>
  <c r="J7" i="1"/>
  <c r="J9" i="1"/>
  <c r="J11" i="1"/>
  <c r="J13" i="1"/>
  <c r="J15" i="1"/>
  <c r="J17" i="1"/>
  <c r="J19" i="1"/>
  <c r="J21" i="1"/>
  <c r="J23" i="1"/>
  <c r="J25" i="1"/>
  <c r="J27" i="1"/>
  <c r="J29" i="1"/>
  <c r="J32" i="1"/>
  <c r="I32" i="1"/>
  <c r="K33" i="1"/>
  <c r="L33" i="1"/>
  <c r="N33" i="1" s="1"/>
  <c r="M33" i="1" s="1"/>
  <c r="M47" i="1"/>
  <c r="M49" i="1"/>
  <c r="M59" i="1"/>
  <c r="M95" i="1"/>
  <c r="M107" i="1"/>
  <c r="M115" i="1"/>
  <c r="M119" i="1"/>
  <c r="M123" i="1"/>
  <c r="M131" i="1"/>
  <c r="M135" i="1"/>
  <c r="M143" i="1"/>
  <c r="M147" i="1"/>
  <c r="M151" i="1"/>
  <c r="M152" i="1"/>
  <c r="I38" i="1"/>
  <c r="I40" i="1"/>
  <c r="I42" i="1"/>
  <c r="I44" i="1"/>
  <c r="I46" i="1"/>
  <c r="I48" i="1"/>
  <c r="I50" i="1"/>
  <c r="I52" i="1"/>
  <c r="I54" i="1"/>
  <c r="I56" i="1"/>
  <c r="I58" i="1"/>
  <c r="I60" i="1"/>
  <c r="I62" i="1"/>
  <c r="I64" i="1"/>
  <c r="I66" i="1"/>
  <c r="I68" i="1"/>
  <c r="I70" i="1"/>
  <c r="I72" i="1"/>
  <c r="I74" i="1"/>
  <c r="I76" i="1"/>
  <c r="I78" i="1"/>
  <c r="I80" i="1"/>
  <c r="I82" i="1"/>
  <c r="I84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I114" i="1"/>
  <c r="I116" i="1"/>
  <c r="I118" i="1"/>
  <c r="I120" i="1"/>
  <c r="I122" i="1"/>
  <c r="I124" i="1"/>
  <c r="I126" i="1"/>
  <c r="I128" i="1"/>
  <c r="I130" i="1"/>
  <c r="I132" i="1"/>
  <c r="I134" i="1"/>
  <c r="I136" i="1"/>
  <c r="I138" i="1"/>
  <c r="I140" i="1"/>
  <c r="I142" i="1"/>
  <c r="I144" i="1"/>
  <c r="I146" i="1"/>
  <c r="I148" i="1"/>
  <c r="I150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J64" i="1"/>
  <c r="J66" i="1"/>
  <c r="J68" i="1"/>
  <c r="J70" i="1"/>
  <c r="J72" i="1"/>
  <c r="J74" i="1"/>
  <c r="J76" i="1"/>
  <c r="J78" i="1"/>
  <c r="J80" i="1"/>
  <c r="J82" i="1"/>
  <c r="J84" i="1"/>
  <c r="J86" i="1"/>
  <c r="J88" i="1"/>
  <c r="J90" i="1"/>
  <c r="J92" i="1"/>
  <c r="J94" i="1"/>
  <c r="J96" i="1"/>
  <c r="J98" i="1"/>
  <c r="J100" i="1"/>
  <c r="J102" i="1"/>
  <c r="J104" i="1"/>
  <c r="J106" i="1"/>
  <c r="J108" i="1"/>
  <c r="J110" i="1"/>
  <c r="J112" i="1"/>
  <c r="J114" i="1"/>
  <c r="J116" i="1"/>
  <c r="J118" i="1"/>
  <c r="J120" i="1"/>
  <c r="J122" i="1"/>
  <c r="J124" i="1"/>
  <c r="J126" i="1"/>
  <c r="J128" i="1"/>
  <c r="J130" i="1"/>
  <c r="J132" i="1"/>
  <c r="J134" i="1"/>
  <c r="J136" i="1"/>
  <c r="J138" i="1"/>
  <c r="J140" i="1"/>
  <c r="J142" i="1"/>
  <c r="J144" i="1"/>
  <c r="J146" i="1"/>
  <c r="J148" i="1"/>
  <c r="J150" i="1"/>
  <c r="K44" i="1" l="1"/>
  <c r="K46" i="1"/>
  <c r="K40" i="1"/>
  <c r="K38" i="1"/>
  <c r="K42" i="1"/>
  <c r="K23" i="1"/>
  <c r="L23" i="1" s="1"/>
  <c r="N23" i="1" s="1"/>
  <c r="M23" i="1" s="1"/>
  <c r="K21" i="1"/>
  <c r="L21" i="1" s="1"/>
  <c r="N21" i="1" s="1"/>
  <c r="M21" i="1" s="1"/>
  <c r="K56" i="1"/>
  <c r="L56" i="1" s="1"/>
  <c r="N56" i="1" s="1"/>
  <c r="M56" i="1" s="1"/>
  <c r="K54" i="1"/>
  <c r="L54" i="1" s="1"/>
  <c r="N54" i="1" s="1"/>
  <c r="M54" i="1" s="1"/>
  <c r="K13" i="1"/>
  <c r="L13" i="1" s="1"/>
  <c r="N13" i="1" s="1"/>
  <c r="M13" i="1" s="1"/>
  <c r="K52" i="1"/>
  <c r="L52" i="1" s="1"/>
  <c r="N52" i="1" s="1"/>
  <c r="M52" i="1" s="1"/>
  <c r="K11" i="1"/>
  <c r="L11" i="1" s="1"/>
  <c r="N11" i="1" s="1"/>
  <c r="M11" i="1" s="1"/>
  <c r="K50" i="1"/>
  <c r="L50" i="1" s="1"/>
  <c r="N50" i="1" s="1"/>
  <c r="M50" i="1" s="1"/>
  <c r="K9" i="1"/>
  <c r="L9" i="1" s="1"/>
  <c r="N9" i="1" s="1"/>
  <c r="M9" i="1" s="1"/>
  <c r="K48" i="1"/>
  <c r="L48" i="1" s="1"/>
  <c r="N48" i="1" s="1"/>
  <c r="M48" i="1" s="1"/>
  <c r="K7" i="1"/>
  <c r="L7" i="1" s="1"/>
  <c r="N7" i="1" s="1"/>
  <c r="M7" i="1" s="1"/>
  <c r="K27" i="1"/>
  <c r="K148" i="1"/>
  <c r="L148" i="1" s="1"/>
  <c r="N148" i="1" s="1"/>
  <c r="M148" i="1" s="1"/>
  <c r="K29" i="1"/>
  <c r="L29" i="1" s="1"/>
  <c r="N29" i="1" s="1"/>
  <c r="M29" i="1" s="1"/>
  <c r="K124" i="1"/>
  <c r="L124" i="1" s="1"/>
  <c r="N124" i="1" s="1"/>
  <c r="M124" i="1" s="1"/>
  <c r="K17" i="1"/>
  <c r="L17" i="1" s="1"/>
  <c r="N17" i="1" s="1"/>
  <c r="M17" i="1" s="1"/>
  <c r="K142" i="1"/>
  <c r="L142" i="1" s="1"/>
  <c r="N142" i="1" s="1"/>
  <c r="M142" i="1" s="1"/>
  <c r="K60" i="1"/>
  <c r="L60" i="1" s="1"/>
  <c r="N60" i="1" s="1"/>
  <c r="M60" i="1" s="1"/>
  <c r="K19" i="1"/>
  <c r="L19" i="1" s="1"/>
  <c r="N19" i="1" s="1"/>
  <c r="M19" i="1" s="1"/>
  <c r="K150" i="1"/>
  <c r="L150" i="1" s="1"/>
  <c r="N150" i="1" s="1"/>
  <c r="M150" i="1" s="1"/>
  <c r="K140" i="1"/>
  <c r="L140" i="1"/>
  <c r="N140" i="1" s="1"/>
  <c r="M140" i="1" s="1"/>
  <c r="L44" i="1"/>
  <c r="N44" i="1" s="1"/>
  <c r="M44" i="1" s="1"/>
  <c r="K32" i="1"/>
  <c r="L32" i="1" s="1"/>
  <c r="N32" i="1" s="1"/>
  <c r="M32" i="1" s="1"/>
  <c r="L27" i="1"/>
  <c r="N27" i="1" s="1"/>
  <c r="M27" i="1" s="1"/>
  <c r="K104" i="1"/>
  <c r="L104" i="1" s="1"/>
  <c r="N104" i="1" s="1"/>
  <c r="M104" i="1" s="1"/>
  <c r="K72" i="1"/>
  <c r="L72" i="1" s="1"/>
  <c r="N72" i="1" s="1"/>
  <c r="M72" i="1" s="1"/>
  <c r="K134" i="1"/>
  <c r="L134" i="1" s="1"/>
  <c r="N134" i="1" s="1"/>
  <c r="M134" i="1" s="1"/>
  <c r="K102" i="1"/>
  <c r="L102" i="1"/>
  <c r="N102" i="1" s="1"/>
  <c r="M102" i="1" s="1"/>
  <c r="K70" i="1"/>
  <c r="L70" i="1" s="1"/>
  <c r="N70" i="1" s="1"/>
  <c r="M70" i="1" s="1"/>
  <c r="L38" i="1"/>
  <c r="N38" i="1" s="1"/>
  <c r="M38" i="1" s="1"/>
  <c r="K25" i="1"/>
  <c r="L25" i="1" s="1"/>
  <c r="N25" i="1" s="1"/>
  <c r="M25" i="1" s="1"/>
  <c r="K106" i="1"/>
  <c r="L106" i="1" s="1"/>
  <c r="N106" i="1" s="1"/>
  <c r="M106" i="1" s="1"/>
  <c r="L40" i="1"/>
  <c r="N40" i="1" s="1"/>
  <c r="M40" i="1" s="1"/>
  <c r="K132" i="1"/>
  <c r="L132" i="1" s="1"/>
  <c r="N132" i="1" s="1"/>
  <c r="M132" i="1" s="1"/>
  <c r="K100" i="1"/>
  <c r="L100" i="1" s="1"/>
  <c r="N100" i="1" s="1"/>
  <c r="M100" i="1" s="1"/>
  <c r="K68" i="1"/>
  <c r="L68" i="1" s="1"/>
  <c r="N68" i="1" s="1"/>
  <c r="M68" i="1" s="1"/>
  <c r="K136" i="1"/>
  <c r="L136" i="1" s="1"/>
  <c r="N136" i="1" s="1"/>
  <c r="M136" i="1" s="1"/>
  <c r="K130" i="1"/>
  <c r="L130" i="1" s="1"/>
  <c r="N130" i="1" s="1"/>
  <c r="M130" i="1" s="1"/>
  <c r="K98" i="1"/>
  <c r="L98" i="1" s="1"/>
  <c r="N98" i="1" s="1"/>
  <c r="M98" i="1" s="1"/>
  <c r="K66" i="1"/>
  <c r="L66" i="1" s="1"/>
  <c r="N66" i="1" s="1"/>
  <c r="M66" i="1" s="1"/>
  <c r="K128" i="1"/>
  <c r="L128" i="1" s="1"/>
  <c r="N128" i="1" s="1"/>
  <c r="M128" i="1" s="1"/>
  <c r="K96" i="1"/>
  <c r="L96" i="1" s="1"/>
  <c r="N96" i="1" s="1"/>
  <c r="M96" i="1" s="1"/>
  <c r="K64" i="1"/>
  <c r="L64" i="1" s="1"/>
  <c r="N64" i="1" s="1"/>
  <c r="M64" i="1" s="1"/>
  <c r="K76" i="1"/>
  <c r="L76" i="1" s="1"/>
  <c r="N76" i="1" s="1"/>
  <c r="M76" i="1" s="1"/>
  <c r="K126" i="1"/>
  <c r="L126" i="1" s="1"/>
  <c r="N126" i="1" s="1"/>
  <c r="M126" i="1" s="1"/>
  <c r="K92" i="1"/>
  <c r="L92" i="1" s="1"/>
  <c r="N92" i="1" s="1"/>
  <c r="M92" i="1" s="1"/>
  <c r="K15" i="1"/>
  <c r="K108" i="1"/>
  <c r="L108" i="1" s="1"/>
  <c r="N108" i="1" s="1"/>
  <c r="M108" i="1" s="1"/>
  <c r="K74" i="1"/>
  <c r="L74" i="1" s="1"/>
  <c r="N74" i="1" s="1"/>
  <c r="M74" i="1" s="1"/>
  <c r="K94" i="1"/>
  <c r="L94" i="1" s="1"/>
  <c r="N94" i="1" s="1"/>
  <c r="M94" i="1" s="1"/>
  <c r="K122" i="1"/>
  <c r="L122" i="1" s="1"/>
  <c r="N122" i="1" s="1"/>
  <c r="M122" i="1" s="1"/>
  <c r="K90" i="1"/>
  <c r="L90" i="1" s="1"/>
  <c r="N90" i="1" s="1"/>
  <c r="M90" i="1" s="1"/>
  <c r="K58" i="1"/>
  <c r="L58" i="1" s="1"/>
  <c r="N58" i="1" s="1"/>
  <c r="M58" i="1" s="1"/>
  <c r="K120" i="1"/>
  <c r="L120" i="1" s="1"/>
  <c r="N120" i="1" s="1"/>
  <c r="M120" i="1" s="1"/>
  <c r="K88" i="1"/>
  <c r="L88" i="1" s="1"/>
  <c r="N88" i="1" s="1"/>
  <c r="M88" i="1" s="1"/>
  <c r="K118" i="1"/>
  <c r="L118" i="1" s="1"/>
  <c r="N118" i="1" s="1"/>
  <c r="M118" i="1" s="1"/>
  <c r="K86" i="1"/>
  <c r="L86" i="1" s="1"/>
  <c r="N86" i="1" s="1"/>
  <c r="M86" i="1" s="1"/>
  <c r="K138" i="1"/>
  <c r="L138" i="1" s="1"/>
  <c r="N138" i="1" s="1"/>
  <c r="M138" i="1" s="1"/>
  <c r="K116" i="1"/>
  <c r="L116" i="1" s="1"/>
  <c r="N116" i="1" s="1"/>
  <c r="M116" i="1" s="1"/>
  <c r="K84" i="1"/>
  <c r="L84" i="1" s="1"/>
  <c r="N84" i="1" s="1"/>
  <c r="M84" i="1" s="1"/>
  <c r="I153" i="1"/>
  <c r="K34" i="1"/>
  <c r="L34" i="1" s="1"/>
  <c r="N34" i="1" s="1"/>
  <c r="M34" i="1" s="1"/>
  <c r="L42" i="1"/>
  <c r="N42" i="1" s="1"/>
  <c r="M42" i="1" s="1"/>
  <c r="K62" i="1"/>
  <c r="L62" i="1" s="1"/>
  <c r="N62" i="1" s="1"/>
  <c r="M62" i="1" s="1"/>
  <c r="K146" i="1"/>
  <c r="L146" i="1" s="1"/>
  <c r="N146" i="1" s="1"/>
  <c r="M146" i="1" s="1"/>
  <c r="K114" i="1"/>
  <c r="L114" i="1" s="1"/>
  <c r="N114" i="1" s="1"/>
  <c r="M114" i="1" s="1"/>
  <c r="K82" i="1"/>
  <c r="L82" i="1" s="1"/>
  <c r="N82" i="1" s="1"/>
  <c r="M82" i="1" s="1"/>
  <c r="K144" i="1"/>
  <c r="L144" i="1" s="1"/>
  <c r="N144" i="1" s="1"/>
  <c r="M144" i="1" s="1"/>
  <c r="K112" i="1"/>
  <c r="L112" i="1" s="1"/>
  <c r="N112" i="1" s="1"/>
  <c r="M112" i="1" s="1"/>
  <c r="K80" i="1"/>
  <c r="L80" i="1" s="1"/>
  <c r="N80" i="1" s="1"/>
  <c r="M80" i="1" s="1"/>
  <c r="K36" i="1"/>
  <c r="L36" i="1" s="1"/>
  <c r="N36" i="1" s="1"/>
  <c r="M36" i="1" s="1"/>
  <c r="K110" i="1"/>
  <c r="L110" i="1" s="1"/>
  <c r="N110" i="1" s="1"/>
  <c r="M110" i="1" s="1"/>
  <c r="K78" i="1"/>
  <c r="L78" i="1" s="1"/>
  <c r="N78" i="1" s="1"/>
  <c r="M78" i="1" s="1"/>
  <c r="L46" i="1"/>
  <c r="N46" i="1" s="1"/>
  <c r="M46" i="1" s="1"/>
  <c r="M16" i="1"/>
  <c r="M10" i="1"/>
  <c r="M8" i="1"/>
  <c r="M14" i="1"/>
  <c r="M6" i="1"/>
  <c r="J153" i="1"/>
  <c r="M31" i="1"/>
  <c r="M30" i="1"/>
  <c r="M28" i="1"/>
  <c r="M26" i="1"/>
  <c r="M24" i="1"/>
  <c r="M22" i="1"/>
  <c r="K153" i="1" l="1"/>
  <c r="L15" i="1"/>
  <c r="N15" i="1" l="1"/>
  <c r="L153" i="1"/>
  <c r="M15" i="1" l="1"/>
  <c r="N153" i="1"/>
  <c r="O15" i="1" s="1"/>
  <c r="O56" i="1" l="1"/>
  <c r="O10" i="1"/>
  <c r="O17" i="1"/>
  <c r="O135" i="1"/>
  <c r="O53" i="1"/>
  <c r="O27" i="1"/>
  <c r="O124" i="1"/>
  <c r="O81" i="1"/>
  <c r="O128" i="1"/>
  <c r="O33" i="1"/>
  <c r="O59" i="1"/>
  <c r="O138" i="1"/>
  <c r="O80" i="1"/>
  <c r="O140" i="1"/>
  <c r="O40" i="1"/>
  <c r="O44" i="1"/>
  <c r="O52" i="1"/>
  <c r="O28" i="1"/>
  <c r="O32" i="1"/>
  <c r="O75" i="1"/>
  <c r="O86" i="1"/>
  <c r="O94" i="1"/>
  <c r="O58" i="1"/>
  <c r="O35" i="1"/>
  <c r="O152" i="1"/>
  <c r="O43" i="1"/>
  <c r="O112" i="1"/>
  <c r="O24" i="1"/>
  <c r="O11" i="1"/>
  <c r="O70" i="1"/>
  <c r="O96" i="1"/>
  <c r="O34" i="1"/>
  <c r="O139" i="1"/>
  <c r="O25" i="1"/>
  <c r="O118" i="1"/>
  <c r="O126" i="1"/>
  <c r="O90" i="1"/>
  <c r="O67" i="1"/>
  <c r="O115" i="1"/>
  <c r="O72" i="1"/>
  <c r="O144" i="1"/>
  <c r="O84" i="1"/>
  <c r="O100" i="1"/>
  <c r="O39" i="1"/>
  <c r="O79" i="1"/>
  <c r="O150" i="1"/>
  <c r="O88" i="1"/>
  <c r="O122" i="1"/>
  <c r="O127" i="1"/>
  <c r="O65" i="1"/>
  <c r="O104" i="1"/>
  <c r="O108" i="1"/>
  <c r="O26" i="1"/>
  <c r="O93" i="1"/>
  <c r="O120" i="1"/>
  <c r="O76" i="1"/>
  <c r="O110" i="1"/>
  <c r="O78" i="1"/>
  <c r="O136" i="1"/>
  <c r="O42" i="1"/>
  <c r="O62" i="1"/>
  <c r="O113" i="1"/>
  <c r="O97" i="1"/>
  <c r="O117" i="1"/>
  <c r="O121" i="1"/>
  <c r="O147" i="1"/>
  <c r="O69" i="1"/>
  <c r="O30" i="1"/>
  <c r="O61" i="1"/>
  <c r="O99" i="1"/>
  <c r="O151" i="1"/>
  <c r="O73" i="1"/>
  <c r="O46" i="1"/>
  <c r="O51" i="1"/>
  <c r="O141" i="1"/>
  <c r="O45" i="1"/>
  <c r="O149" i="1"/>
  <c r="O23" i="1"/>
  <c r="O9" i="1"/>
  <c r="O22" i="1"/>
  <c r="O19" i="1"/>
  <c r="O77" i="1"/>
  <c r="O107" i="1"/>
  <c r="O131" i="1"/>
  <c r="O29" i="1"/>
  <c r="O38" i="1"/>
  <c r="O36" i="1"/>
  <c r="O109" i="1"/>
  <c r="O37" i="1"/>
  <c r="O103" i="1"/>
  <c r="O119" i="1"/>
  <c r="O68" i="1"/>
  <c r="O74" i="1"/>
  <c r="O71" i="1"/>
  <c r="O16" i="1"/>
  <c r="O6" i="1"/>
  <c r="O95" i="1"/>
  <c r="O105" i="1"/>
  <c r="O64" i="1"/>
  <c r="O13" i="1"/>
  <c r="O116" i="1"/>
  <c r="O83" i="1"/>
  <c r="O85" i="1"/>
  <c r="O91" i="1"/>
  <c r="O111" i="1"/>
  <c r="O129" i="1"/>
  <c r="O132" i="1"/>
  <c r="O102" i="1"/>
  <c r="O123" i="1"/>
  <c r="O49" i="1"/>
  <c r="O8" i="1"/>
  <c r="O82" i="1"/>
  <c r="O143" i="1"/>
  <c r="O148" i="1"/>
  <c r="O7" i="1"/>
  <c r="O41" i="1"/>
  <c r="O57" i="1"/>
  <c r="O66" i="1"/>
  <c r="O63" i="1"/>
  <c r="O134" i="1"/>
  <c r="O89" i="1"/>
  <c r="O50" i="1"/>
  <c r="O145" i="1"/>
  <c r="M153" i="1"/>
  <c r="O54" i="1"/>
  <c r="O114" i="1"/>
  <c r="O55" i="1"/>
  <c r="O87" i="1"/>
  <c r="O106" i="1"/>
  <c r="O98" i="1"/>
  <c r="O31" i="1"/>
  <c r="O101" i="1"/>
  <c r="O142" i="1"/>
  <c r="O14" i="1"/>
  <c r="O60" i="1"/>
  <c r="O133" i="1"/>
  <c r="O48" i="1"/>
  <c r="O146" i="1"/>
  <c r="O125" i="1"/>
  <c r="O137" i="1"/>
  <c r="O130" i="1"/>
  <c r="O21" i="1"/>
  <c r="O47" i="1"/>
  <c r="O92" i="1"/>
  <c r="O153" i="1" l="1"/>
</calcChain>
</file>

<file path=xl/sharedStrings.xml><?xml version="1.0" encoding="utf-8"?>
<sst xmlns="http://schemas.openxmlformats.org/spreadsheetml/2006/main" count="518" uniqueCount="282">
  <si>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</si>
  <si>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</si>
  <si>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</si>
  <si>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</si>
  <si>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</si>
  <si>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</si>
  <si>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</si>
  <si>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</si>
  <si>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</si>
  <si>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</si>
  <si>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</si>
  <si>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</si>
  <si>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</si>
  <si>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</si>
  <si>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</si>
  <si>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</si>
  <si>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</si>
  <si>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</si>
  <si>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ANTI GRAVITY BOQ IMPORT TEMPLATE - INSTRUCTIONS</t>
  </si>
  <si>
    <t>Purpose</t>
  </si>
  <si>
    <t>Use this fixed-format worksheet for encoding bid detailed cost breakdown data. The app should read fixed columns and formulas without changing the worksheet structure.</t>
  </si>
  <si>
    <t>Main sheet</t>
  </si>
  <si>
    <t>BOQ_DATA_ENTRY</t>
  </si>
  <si>
    <t>Header rows</t>
  </si>
  <si>
    <t>Rows 1 to 4</t>
  </si>
  <si>
    <t>Data entry rows</t>
  </si>
  <si>
    <t>Rows 5 to 504</t>
  </si>
  <si>
    <t>Grand total row</t>
  </si>
  <si>
    <t>Row 505</t>
  </si>
  <si>
    <t>User input columns</t>
  </si>
  <si>
    <t>A:G only</t>
  </si>
  <si>
    <t>Formula columns</t>
  </si>
  <si>
    <t>H:O</t>
  </si>
  <si>
    <t>Important change</t>
  </si>
  <si>
    <t>The previous TOTAL direct unit cost column was removed. Total Direct Cost now computes as Quantity × SUM(Material, Labor, Equipment).</t>
  </si>
  <si>
    <t>Percentage column</t>
  </si>
  <si>
    <t>Column O = Amount / Grand Total Amount. The grand total percentage at O505 should equal 100.00% when all items are complete.</t>
  </si>
  <si>
    <t>Extraction rule</t>
  </si>
  <si>
    <t>Import encoded item rows from Row 5 to Row 504. Ignore blank rows and Row 505.</t>
  </si>
  <si>
    <t>Do not modify</t>
  </si>
  <si>
    <t>Merged headers, formula columns H:O, grand total row, and fixed column positions.</t>
  </si>
  <si>
    <t>Column</t>
  </si>
  <si>
    <t>Field</t>
  </si>
  <si>
    <t>Editable?</t>
  </si>
  <si>
    <t>Formula / Rule</t>
  </si>
  <si>
    <t>Format</t>
  </si>
  <si>
    <t>Notes</t>
  </si>
  <si>
    <t>A</t>
  </si>
  <si>
    <t>Item #</t>
  </si>
  <si>
    <t>Yes</t>
  </si>
  <si>
    <t>Manual entry</t>
  </si>
  <si>
    <t>Text/Number</t>
  </si>
  <si>
    <t>Can be section or item number</t>
  </si>
  <si>
    <t>B</t>
  </si>
  <si>
    <t>Description</t>
  </si>
  <si>
    <t>Text</t>
  </si>
  <si>
    <t>Scope of work / item description</t>
  </si>
  <si>
    <t>C</t>
  </si>
  <si>
    <t>Unit</t>
  </si>
  <si>
    <t>lot, sq.m, cu.m, l.m, pcs, etc.</t>
  </si>
  <si>
    <t>D</t>
  </si>
  <si>
    <t>Quantity</t>
  </si>
  <si>
    <t>#,##0.00</t>
  </si>
  <si>
    <t>Used in total direct cost</t>
  </si>
  <si>
    <t>E</t>
  </si>
  <si>
    <t>Material</t>
  </si>
  <si>
    <t>Direct unit material cost</t>
  </si>
  <si>
    <t>F</t>
  </si>
  <si>
    <t>Labor</t>
  </si>
  <si>
    <t>Direct unit labor cost</t>
  </si>
  <si>
    <t>G</t>
  </si>
  <si>
    <t>Equipment</t>
  </si>
  <si>
    <t>Direct unit equipment cost</t>
  </si>
  <si>
    <t>H</t>
  </si>
  <si>
    <t>Total Direct Cost</t>
  </si>
  <si>
    <t>No</t>
  </si>
  <si>
    <t>Quantity × SUM(E:G)</t>
  </si>
  <si>
    <t>No separate direct unit total column</t>
  </si>
  <si>
    <t>I</t>
  </si>
  <si>
    <t>H × I4</t>
  </si>
  <si>
    <t>Rate stored at I4</t>
  </si>
  <si>
    <t>J</t>
  </si>
  <si>
    <t>H × J4</t>
  </si>
  <si>
    <t>Rate stored at J4</t>
  </si>
  <si>
    <t>K</t>
  </si>
  <si>
    <t>VAT</t>
  </si>
  <si>
    <t>(H+I+J) × K4</t>
  </si>
  <si>
    <t>Rate stored at K4</t>
  </si>
  <si>
    <t>L</t>
  </si>
  <si>
    <t>Total Indirect Cost</t>
  </si>
  <si>
    <t>SUM(I:K)</t>
  </si>
  <si>
    <t>M</t>
  </si>
  <si>
    <t>Unit Cost</t>
  </si>
  <si>
    <t>Amount / Quantity</t>
  </si>
  <si>
    <t>N</t>
  </si>
  <si>
    <t>Amount</t>
  </si>
  <si>
    <t>H + L</t>
  </si>
  <si>
    <t>Basis for grand total</t>
  </si>
  <si>
    <t>O</t>
  </si>
  <si>
    <t>Percentage</t>
  </si>
  <si>
    <t>Amount / Grand Total</t>
  </si>
  <si>
    <t>0.00%</t>
  </si>
  <si>
    <t>Grand total must summarize to 100.00%</t>
  </si>
  <si>
    <t>App Field Map for Anti Gravity Extraction</t>
  </si>
  <si>
    <t>Fixed Sheet</t>
  </si>
  <si>
    <t>Header Rows</t>
  </si>
  <si>
    <t>1:4</t>
  </si>
  <si>
    <t>Data Rows</t>
  </si>
  <si>
    <t>5:504</t>
  </si>
  <si>
    <t>Grand Total Row</t>
  </si>
  <si>
    <t>505</t>
  </si>
  <si>
    <t>Excel Header</t>
  </si>
  <si>
    <t>Suggested DB Field</t>
  </si>
  <si>
    <t>Data Type</t>
  </si>
  <si>
    <t>Extraction Note</t>
  </si>
  <si>
    <t>item_no</t>
  </si>
  <si>
    <t>string</t>
  </si>
  <si>
    <t>Skip blank rows</t>
  </si>
  <si>
    <t>DESCRIPTION</t>
  </si>
  <si>
    <t>description</t>
  </si>
  <si>
    <t>Required for item rows</t>
  </si>
  <si>
    <t>unit</t>
  </si>
  <si>
    <t>Keep unit abbreviations unchanged</t>
  </si>
  <si>
    <t>quantity</t>
  </si>
  <si>
    <t>decimal</t>
  </si>
  <si>
    <t>Import as number</t>
  </si>
  <si>
    <t>material_direct_unit_cost</t>
  </si>
  <si>
    <t>User encoded</t>
  </si>
  <si>
    <t>labor_direct_unit_cost</t>
  </si>
  <si>
    <t>equipment_direct_unit_cost</t>
  </si>
  <si>
    <t>TOTAL DIRECT COST</t>
  </si>
  <si>
    <t>total_direct_cost</t>
  </si>
  <si>
    <t>decimal/formula</t>
  </si>
  <si>
    <t>Formula: D × SUM(E:G)</t>
  </si>
  <si>
    <t>ocm_amount</t>
  </si>
  <si>
    <t>Formula based on I4</t>
  </si>
  <si>
    <t>cp_amount</t>
  </si>
  <si>
    <t>Formula based on J4</t>
  </si>
  <si>
    <t>vat_amount</t>
  </si>
  <si>
    <t>Formula based on K4</t>
  </si>
  <si>
    <t>TOTAL INDIRECT COST</t>
  </si>
  <si>
    <t>total_indirect_cost</t>
  </si>
  <si>
    <t>Sum of OCM, CP, VAT</t>
  </si>
  <si>
    <t>unit_cost</t>
  </si>
  <si>
    <t>Amount / quantity</t>
  </si>
  <si>
    <t>amount</t>
  </si>
  <si>
    <t>Total direct + indirect</t>
  </si>
  <si>
    <t>percentage_share</t>
  </si>
  <si>
    <t>percentage/formula</t>
  </si>
  <si>
    <t>Amount / grand total</t>
  </si>
  <si>
    <t>Common Units</t>
  </si>
  <si>
    <t>Markup Rates</t>
  </si>
  <si>
    <t>Import Status</t>
  </si>
  <si>
    <t>lot</t>
  </si>
  <si>
    <t>OCM = 8.00%</t>
  </si>
  <si>
    <t>Ready</t>
  </si>
  <si>
    <t>Use this sheet as a reference only.</t>
  </si>
  <si>
    <t>pcs</t>
  </si>
  <si>
    <t>CP = 8.00%</t>
  </si>
  <si>
    <t>Incomplete</t>
  </si>
  <si>
    <t>Do not extract this sheet.</t>
  </si>
  <si>
    <t>set</t>
  </si>
  <si>
    <t>VAT = 5.00%</t>
  </si>
  <si>
    <t>Review</t>
  </si>
  <si>
    <t>sq.m</t>
  </si>
  <si>
    <t>cu.m</t>
  </si>
  <si>
    <t>l.m</t>
  </si>
  <si>
    <t>kg</t>
  </si>
  <si>
    <t>bag</t>
  </si>
  <si>
    <t>gal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</si>
  <si>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</si>
  <si>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</si>
  <si>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</si>
  <si>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</si>
  <si>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</si>
  <si>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</si>
  <si>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</si>
  <si>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</si>
  <si>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</si>
  <si>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</si>
  <si>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</si>
  <si>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</si>
  <si>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</si>
  <si>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</si>
  <si>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</si>
  <si>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</si>
  <si>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</si>
  <si>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</si>
  <si>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</si>
  <si>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</si>
  <si>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</si>
  <si>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</si>
  <si>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</si>
  <si>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</si>
  <si>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</si>
  <si>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</si>
  <si>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</si>
  <si>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</si>
  <si>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</si>
  <si>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</si>
  <si>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</si>
  <si>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</si>
  <si>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</si>
  <si>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</si>
  <si>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</si>
  <si>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</si>
  <si>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</si>
  <si>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</si>
  <si>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</si>
  <si>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</si>
  <si>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</si>
  <si>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</si>
  <si>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</si>
  <si>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</si>
  <si>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</si>
  <si>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</si>
  <si>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</si>
  <si>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</si>
  <si>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</si>
  <si>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</si>
  <si>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</si>
  <si>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</si>
  <si>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</si>
  <si>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</si>
  <si>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</si>
  <si>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</si>
  <si>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</si>
  <si>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</si>
  <si>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</si>
  <si>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</si>
  <si>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</si>
  <si>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</si>
  <si>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</si>
  <si>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</si>
  <si>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</si>
  <si>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</si>
  <si>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EXTERIOR DEVELOPMENT</t>
  </si>
  <si>
    <t>CLEARING &amp; GRUBBING</t>
  </si>
  <si>
    <t>ha</t>
  </si>
  <si>
    <t>EARTHFILLING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</si>
  <si>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</si>
  <si>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</si>
  <si>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</si>
  <si>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</si>
  <si>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</si>
  <si>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</si>
  <si>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</si>
  <si>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</si>
  <si>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</si>
  <si>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</si>
  <si>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</si>
  <si>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</si>
  <si>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</si>
  <si>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</si>
  <si>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</si>
  <si>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</si>
  <si>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</si>
  <si>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</si>
  <si>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CONSTRUCTION OF COFFEE SHOP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</si>
  <si>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</si>
  <si>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</si>
  <si>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</si>
  <si>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</si>
  <si>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</si>
  <si>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</si>
  <si>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</si>
  <si>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</si>
  <si>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CONSTRUCTION OF NEGOSYO &amp; TOURISM CENTER</t>
  </si>
  <si>
    <t>RAILINGS</t>
  </si>
  <si>
    <t>CARPENTRY WORKS</t>
  </si>
  <si>
    <t>PHENOLIC PARTITION</t>
  </si>
  <si>
    <t>CONSTRUCTION OF POLICE SUBSTATION</t>
  </si>
  <si>
    <t>CONSTRUCTION OF SUBSTATION / POWERHOUSE</t>
  </si>
  <si>
    <t>FURNITURES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</si>
  <si>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</si>
  <si>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</si>
  <si>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</si>
  <si>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</si>
  <si>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</si>
  <si>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</si>
  <si>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</si>
  <si>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SOIL POISONING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</si>
</sst>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9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99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right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5" xfId="0" applyFont="1" applyFill="1" applyBorder="1" applyAlignment="1">
      <alignment horizontal="right" vertical="center"/>
    </xf>
    <xf numFmtId="0" fontId="0" fillId="0" borderId="8" xfId="0" applyBorder="1"/>
    <xf numFmtId="0" fontId="0" fillId="0" borderId="9" xfId="0" applyBorder="1"/>
    <xf numFmtId="0" fontId="1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/>
    </xf>
    <xf numFmtId="0" fontId="7" fillId="6" borderId="11" xfId="2" applyFont="1" applyFill="1" applyBorder="1" applyAlignment="1">
      <alignment vertical="center"/>
    </xf>
    <xf numFmtId="43" fontId="7" fillId="6" borderId="11" xfId="3" applyFont="1" applyFill="1" applyBorder="1" applyAlignment="1">
      <alignment horizontal="center" vertical="center"/>
    </xf>
    <xf numFmtId="164" fontId="8" fillId="0" borderId="12" xfId="2" applyNumberFormat="1" applyFont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43" fontId="8" fillId="0" borderId="14" xfId="3" applyFont="1" applyFill="1" applyBorder="1" applyAlignment="1">
      <alignment horizontal="right" vertical="center"/>
    </xf>
    <xf numFmtId="43" fontId="8" fillId="0" borderId="14" xfId="1" applyFont="1" applyFill="1" applyBorder="1" applyAlignment="1">
      <alignment horizontal="right" vertical="center"/>
    </xf>
    <xf numFmtId="164" fontId="8" fillId="0" borderId="15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 indent="1"/>
    </xf>
    <xf numFmtId="0" fontId="8" fillId="0" borderId="17" xfId="2" applyFont="1" applyBorder="1" applyAlignment="1">
      <alignment horizontal="center" vertical="center"/>
    </xf>
    <xf numFmtId="43" fontId="8" fillId="0" borderId="17" xfId="3" applyFont="1" applyFill="1" applyBorder="1" applyAlignment="1">
      <alignment horizontal="right" vertical="center"/>
    </xf>
    <xf numFmtId="43" fontId="8" fillId="0" borderId="18" xfId="1" applyFont="1" applyFill="1" applyBorder="1" applyAlignment="1">
      <alignment horizontal="right" vertical="center"/>
    </xf>
    <xf numFmtId="43" fontId="8" fillId="0" borderId="17" xfId="1" applyFont="1" applyFill="1" applyBorder="1" applyAlignment="1">
      <alignment horizontal="left" vertical="center"/>
    </xf>
    <xf numFmtId="164" fontId="8" fillId="7" borderId="19" xfId="2" applyNumberFormat="1" applyFont="1" applyFill="1" applyBorder="1" applyAlignment="1">
      <alignment horizontal="left" vertical="center"/>
    </xf>
    <xf numFmtId="0" fontId="8" fillId="7" borderId="20" xfId="2" applyFont="1" applyFill="1" applyBorder="1" applyAlignment="1">
      <alignment horizontal="left" vertical="center" indent="1"/>
    </xf>
    <xf numFmtId="0" fontId="8" fillId="7" borderId="18" xfId="2" applyFont="1" applyFill="1" applyBorder="1" applyAlignment="1">
      <alignment horizontal="center" vertical="center"/>
    </xf>
    <xf numFmtId="43" fontId="8" fillId="7" borderId="18" xfId="3" applyFont="1" applyFill="1" applyBorder="1" applyAlignment="1">
      <alignment horizontal="right" vertical="center"/>
    </xf>
    <xf numFmtId="43" fontId="8" fillId="7" borderId="18" xfId="1" applyFont="1" applyFill="1" applyBorder="1" applyAlignment="1">
      <alignment horizontal="left" vertical="center"/>
    </xf>
    <xf numFmtId="0" fontId="7" fillId="8" borderId="10" xfId="2" applyFont="1" applyFill="1" applyBorder="1" applyAlignment="1">
      <alignment horizontal="center" vertical="center"/>
    </xf>
    <xf numFmtId="164" fontId="7" fillId="8" borderId="11" xfId="3" applyNumberFormat="1" applyFont="1" applyFill="1" applyBorder="1" applyAlignment="1">
      <alignment horizontal="left" vertical="center"/>
    </xf>
    <xf numFmtId="0" fontId="8" fillId="8" borderId="11" xfId="2" applyFont="1" applyFill="1" applyBorder="1" applyAlignment="1">
      <alignment horizontal="center" vertical="center"/>
    </xf>
    <xf numFmtId="43" fontId="8" fillId="8" borderId="11" xfId="3" applyFont="1" applyFill="1" applyBorder="1" applyAlignment="1">
      <alignment horizontal="right" vertical="center"/>
    </xf>
    <xf numFmtId="164" fontId="8" fillId="0" borderId="13" xfId="2" applyNumberFormat="1" applyFont="1" applyBorder="1" applyAlignment="1">
      <alignment horizontal="left" vertical="center"/>
    </xf>
    <xf numFmtId="0" fontId="8" fillId="0" borderId="21" xfId="4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22" xfId="4" applyFont="1" applyBorder="1" applyAlignment="1">
      <alignment vertical="center"/>
    </xf>
    <xf numFmtId="43" fontId="8" fillId="0" borderId="16" xfId="3" applyFont="1" applyFill="1" applyBorder="1" applyAlignment="1">
      <alignment horizontal="right" vertical="center"/>
    </xf>
    <xf numFmtId="164" fontId="8" fillId="7" borderId="13" xfId="2" applyNumberFormat="1" applyFont="1" applyFill="1" applyBorder="1" applyAlignment="1">
      <alignment horizontal="left" vertical="center"/>
    </xf>
    <xf numFmtId="0" fontId="8" fillId="7" borderId="22" xfId="4" applyFont="1" applyFill="1" applyBorder="1" applyAlignment="1">
      <alignment vertical="center"/>
    </xf>
    <xf numFmtId="0" fontId="8" fillId="7" borderId="13" xfId="2" applyFont="1" applyFill="1" applyBorder="1" applyAlignment="1">
      <alignment horizontal="center" vertical="center"/>
    </xf>
    <xf numFmtId="43" fontId="8" fillId="7" borderId="17" xfId="3" applyFont="1" applyFill="1" applyBorder="1" applyAlignment="1">
      <alignment horizontal="right" vertical="center"/>
    </xf>
    <xf numFmtId="43" fontId="8" fillId="7" borderId="16" xfId="3" applyFont="1" applyFill="1" applyBorder="1" applyAlignment="1">
      <alignment horizontal="right" vertical="center"/>
    </xf>
    <xf numFmtId="0" fontId="8" fillId="8" borderId="10" xfId="4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left" vertical="center"/>
    </xf>
    <xf numFmtId="164" fontId="8" fillId="0" borderId="22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43" fontId="8" fillId="0" borderId="23" xfId="3" applyFont="1" applyFill="1" applyBorder="1" applyAlignment="1">
      <alignment horizontal="right" vertical="center"/>
    </xf>
    <xf numFmtId="164" fontId="8" fillId="0" borderId="11" xfId="3" applyNumberFormat="1" applyFont="1" applyFill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/>
    </xf>
    <xf numFmtId="43" fontId="8" fillId="0" borderId="24" xfId="3" applyFont="1" applyFill="1" applyBorder="1" applyAlignment="1">
      <alignment horizontal="right" vertical="center"/>
    </xf>
    <xf numFmtId="0" fontId="8" fillId="0" borderId="22" xfId="2" applyFont="1" applyBorder="1" applyAlignment="1">
      <alignment horizontal="left" vertical="center"/>
    </xf>
    <xf numFmtId="43" fontId="8" fillId="9" borderId="17" xfId="3" applyFont="1" applyFill="1" applyBorder="1" applyAlignment="1">
      <alignment horizontal="right" vertical="center"/>
    </xf>
    <xf numFmtId="164" fontId="8" fillId="0" borderId="20" xfId="2" applyNumberFormat="1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43" fontId="8" fillId="0" borderId="18" xfId="3" applyFont="1" applyFill="1" applyBorder="1" applyAlignment="1">
      <alignment horizontal="right" vertical="center"/>
    </xf>
    <xf numFmtId="43" fontId="8" fillId="9" borderId="18" xfId="3" applyFont="1" applyFill="1" applyBorder="1" applyAlignment="1">
      <alignment horizontal="right" vertical="center"/>
    </xf>
    <xf numFmtId="0" fontId="8" fillId="8" borderId="11" xfId="4" applyFont="1" applyFill="1" applyBorder="1" applyAlignment="1">
      <alignment vertical="center"/>
    </xf>
    <xf numFmtId="0" fontId="8" fillId="0" borderId="21" xfId="2" applyFont="1" applyBorder="1" applyAlignment="1">
      <alignment horizontal="left" vertical="center"/>
    </xf>
    <xf numFmtId="43" fontId="8" fillId="9" borderId="14" xfId="3" applyFont="1" applyFill="1" applyBorder="1" applyAlignment="1">
      <alignment horizontal="right" vertical="center"/>
    </xf>
    <xf numFmtId="0" fontId="8" fillId="0" borderId="26" xfId="2" applyFont="1" applyBorder="1" applyAlignment="1">
      <alignment horizontal="left" vertical="center"/>
    </xf>
    <xf numFmtId="164" fontId="7" fillId="10" borderId="11" xfId="3" applyNumberFormat="1" applyFont="1" applyFill="1" applyBorder="1" applyAlignment="1">
      <alignment horizontal="left" vertical="center"/>
    </xf>
    <xf numFmtId="164" fontId="8" fillId="0" borderId="27" xfId="3" applyNumberFormat="1" applyFont="1" applyFill="1" applyBorder="1" applyAlignment="1">
      <alignment horizontal="left" vertical="center"/>
    </xf>
    <xf numFmtId="0" fontId="8" fillId="0" borderId="28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43" fontId="8" fillId="0" borderId="29" xfId="3" applyFont="1" applyFill="1" applyBorder="1" applyAlignment="1">
      <alignment horizontal="right" vertical="center"/>
    </xf>
    <xf numFmtId="43" fontId="8" fillId="0" borderId="27" xfId="3" applyFont="1" applyFill="1" applyBorder="1" applyAlignment="1">
      <alignment horizontal="right" vertical="center"/>
    </xf>
    <xf numFmtId="164" fontId="8" fillId="0" borderId="1" xfId="3" applyNumberFormat="1" applyFont="1" applyFill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43" fontId="8" fillId="0" borderId="30" xfId="3" applyFont="1" applyFill="1" applyBorder="1" applyAlignment="1">
      <alignment horizontal="right" vertical="center"/>
    </xf>
    <xf numFmtId="43" fontId="8" fillId="0" borderId="20" xfId="3" applyFont="1" applyFill="1" applyBorder="1" applyAlignment="1">
      <alignment horizontal="right" vertical="center"/>
    </xf>
    <xf numFmtId="43" fontId="8" fillId="9" borderId="23" xfId="3" applyFont="1" applyFill="1" applyBorder="1" applyAlignment="1">
      <alignment horizontal="right" vertical="center"/>
    </xf>
    <xf numFmtId="165" fontId="8" fillId="0" borderId="16" xfId="2" applyNumberFormat="1" applyFont="1" applyBorder="1" applyAlignment="1">
      <alignment horizontal="center" vertical="center"/>
    </xf>
    <xf numFmtId="164" fontId="8" fillId="0" borderId="31" xfId="2" applyNumberFormat="1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164" fontId="8" fillId="0" borderId="33" xfId="2" applyNumberFormat="1" applyFont="1" applyBorder="1" applyAlignment="1">
      <alignment horizontal="left" vertical="center"/>
    </xf>
    <xf numFmtId="0" fontId="8" fillId="0" borderId="34" xfId="2" applyFont="1" applyBorder="1" applyAlignment="1">
      <alignment horizontal="center" vertical="center"/>
    </xf>
    <xf numFmtId="43" fontId="8" fillId="0" borderId="35" xfId="3" applyFont="1" applyFill="1" applyBorder="1" applyAlignment="1">
      <alignment horizontal="right" vertical="center"/>
    </xf>
    <xf numFmtId="43" fontId="8" fillId="9" borderId="35" xfId="3" applyFont="1" applyFill="1" applyBorder="1" applyAlignment="1">
      <alignment horizontal="right" vertical="center"/>
    </xf>
    <xf numFmtId="43" fontId="8" fillId="9" borderId="36" xfId="3" applyFont="1" applyFill="1" applyBorder="1" applyAlignment="1">
      <alignment horizontal="right" vertical="center"/>
    </xf>
  </cellXfs>
  <cellStyles count="5">
    <cellStyle name="Comma" xfId="1" builtinId="3"/>
    <cellStyle name="Comma 2" xfId="3" xr:uid="{54C835B5-064A-4F38-8D8C-8856694A16E2}"/>
    <cellStyle name="Normal" xfId="0" builtinId="0"/>
    <cellStyle name="Normal 2" xfId="4" xr:uid="{3FE7AF98-346F-49F1-8281-8AA4F2823414}"/>
    <cellStyle name="Normal_NTN-DC Power @ MandaHost (adjusted)" xfId="2" xr:uid="{EFF9649A-75E3-4314-B515-E16FB67EB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topLeftCell="E1" workbookViewId="0">
      <selection activeCell="Q12" sqref="Q12"/>
    </sheetView>
  </sheetViews>
  <sheetFormatPr defaultRowHeight="13.8"/>
  <cols>
    <col min="1" max="1" width="11" customWidth="1"/>
    <col min="2" max="2" width="42" customWidth="1"/>
    <col min="3" max="3" width="10" customWidth="1"/>
    <col min="4" max="4" width="12" customWidth="1"/>
    <col min="5" max="7" width="14" customWidth="1"/>
    <col min="8" max="8" width="16" customWidth="1"/>
    <col min="9" max="11" width="14" customWidth="1"/>
    <col min="12" max="12" width="16" customWidth="1"/>
    <col min="13" max="13" width="14" customWidth="1"/>
    <col min="14" max="14" width="16" customWidth="1"/>
    <col min="15" max="15" width="13" customWidth="1"/>
  </cols>
  <sheetData>
    <row r="1" spans="1:15">
      <c r="A1" s="24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/>
      <c r="G2" s="20"/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</row>
    <row r="3" spans="1:15">
      <c r="A3" s="22"/>
      <c r="B3" s="22"/>
      <c r="C3" s="22"/>
      <c r="D3" s="22"/>
      <c r="E3" s="25" t="s">
        <v>14</v>
      </c>
      <c r="F3" s="25" t="s">
        <v>15</v>
      </c>
      <c r="G3" s="25" t="s">
        <v>16</v>
      </c>
      <c r="H3" s="22"/>
      <c r="I3" s="23"/>
      <c r="J3" s="23"/>
      <c r="K3" s="23"/>
      <c r="L3" s="22"/>
      <c r="M3" s="22"/>
      <c r="N3" s="22"/>
      <c r="O3" s="22"/>
    </row>
    <row r="4" spans="1:15" ht="14.1" thickBot="1">
      <c r="A4" s="23"/>
      <c r="B4" s="23"/>
      <c r="C4" s="23"/>
      <c r="D4" s="23"/>
      <c r="E4" s="25"/>
      <c r="F4" s="25"/>
      <c r="G4" s="25"/>
      <c r="H4" s="23"/>
      <c r="I4" s="15">
        <v>0.08</v>
      </c>
      <c r="J4" s="15">
        <v>0.08</v>
      </c>
      <c r="K4" s="15">
        <v>0.05</v>
      </c>
      <c r="L4" s="23"/>
      <c r="M4" s="23"/>
      <c r="N4" s="23"/>
      <c r="O4" s="23"/>
    </row>
    <row r="5" spans="1:15" ht="15.9" thickBot="1">
      <c r="A5" s="26" t="s">
        <v>170</v>
      </c>
      <c r="B5" s="27" t="s">
        <v>171</v>
      </c>
      <c r="C5" s="27"/>
      <c r="D5" s="27"/>
      <c r="E5" s="28"/>
      <c r="F5" s="28"/>
      <c r="G5" s="28"/>
      <c r="H5" s="12"/>
      <c r="I5" s="12"/>
      <c r="J5" s="12"/>
      <c r="K5" s="12"/>
      <c r="L5" s="12"/>
      <c r="M5" s="12"/>
      <c r="N5" s="12"/>
      <c r="O5" s="14"/>
    </row>
    <row r="6" spans="1:15" ht="15.6">
      <c r="A6" s="29">
        <v>1</v>
      </c>
      <c r="B6" s="30" t="s">
        <v>172</v>
      </c>
      <c r="C6" s="31" t="s">
        <v>153</v>
      </c>
      <c r="D6" s="32">
        <v>1</v>
      </c>
      <c r="E6" s="33">
        <v>816000</v>
      </c>
      <c r="F6" s="33">
        <v>545940</v>
      </c>
      <c r="G6" s="33">
        <v>158000</v>
      </c>
      <c r="H6" s="12">
        <f t="shared" ref="H6:H68" si="0">IF(COUNTA($A6:$G6)=0,"",$D6*SUM($E6:$G6))</f>
        <v>1519940</v>
      </c>
      <c r="I6" s="12">
        <f t="shared" ref="I6:I68" si="1">IF($H6="","",$H6*$I$4)</f>
        <v>121595.2</v>
      </c>
      <c r="J6" s="12">
        <f t="shared" ref="J6:J68" si="2">IF($H6="","",$H6*$J$4)</f>
        <v>121595.2</v>
      </c>
      <c r="K6" s="12">
        <f t="shared" ref="K6:K68" si="3">IF($H6="","",($H6+$I6+$J6)*$K$4)</f>
        <v>88156.52</v>
      </c>
      <c r="L6" s="12">
        <f t="shared" ref="L6:L68" si="4">IF($H6="","",SUM($I6:$K6))</f>
        <v>331346.92</v>
      </c>
      <c r="M6" s="12">
        <f t="shared" ref="M6:M68" si="5">IFERROR($N6/$D6,"")</f>
        <v>1851286.92</v>
      </c>
      <c r="N6" s="12">
        <f t="shared" ref="N6:N68" si="6">IF($H6="","",$H6+$L6)</f>
        <v>1851286.92</v>
      </c>
      <c r="O6" s="14">
        <f>IF(OR($N6="",$N$153=""),"",IFERROR($N6/$N$153,0))</f>
        <v>3.3676809727596264E-3</v>
      </c>
    </row>
    <row r="7" spans="1:15" ht="15.6">
      <c r="A7" s="34">
        <v>2</v>
      </c>
      <c r="B7" s="35" t="s">
        <v>173</v>
      </c>
      <c r="C7" s="36" t="s">
        <v>153</v>
      </c>
      <c r="D7" s="37">
        <v>1</v>
      </c>
      <c r="E7" s="38">
        <v>367750</v>
      </c>
      <c r="F7" s="38">
        <v>324000</v>
      </c>
      <c r="G7" s="38">
        <v>0</v>
      </c>
      <c r="H7" s="12">
        <f t="shared" si="0"/>
        <v>691750</v>
      </c>
      <c r="I7" s="12">
        <f t="shared" si="1"/>
        <v>55340</v>
      </c>
      <c r="J7" s="12">
        <f t="shared" si="2"/>
        <v>55340</v>
      </c>
      <c r="K7" s="12">
        <f t="shared" si="3"/>
        <v>40121.5</v>
      </c>
      <c r="L7" s="12">
        <f t="shared" si="4"/>
        <v>150801.5</v>
      </c>
      <c r="M7" s="12">
        <f t="shared" si="5"/>
        <v>842551.5</v>
      </c>
      <c r="N7" s="12">
        <f t="shared" si="6"/>
        <v>842551.5</v>
      </c>
      <c r="O7" s="14">
        <f>IF(OR($N7="",$N$153=""),"",IFERROR($N7/$N$153,0))</f>
        <v>1.5326876803732198E-3</v>
      </c>
    </row>
    <row r="8" spans="1:15" ht="15.6">
      <c r="A8" s="34">
        <v>3</v>
      </c>
      <c r="B8" s="35" t="s">
        <v>174</v>
      </c>
      <c r="C8" s="36" t="s">
        <v>153</v>
      </c>
      <c r="D8" s="37">
        <v>1</v>
      </c>
      <c r="E8" s="39">
        <v>140000</v>
      </c>
      <c r="F8" s="39">
        <v>0</v>
      </c>
      <c r="G8" s="39">
        <v>0</v>
      </c>
      <c r="H8" s="12">
        <f t="shared" si="0"/>
        <v>140000</v>
      </c>
      <c r="I8" s="12">
        <f t="shared" si="1"/>
        <v>11200</v>
      </c>
      <c r="J8" s="12">
        <f t="shared" si="2"/>
        <v>11200</v>
      </c>
      <c r="K8" s="12">
        <f t="shared" si="3"/>
        <v>8120</v>
      </c>
      <c r="L8" s="12">
        <f t="shared" si="4"/>
        <v>30520</v>
      </c>
      <c r="M8" s="12">
        <f t="shared" si="5"/>
        <v>170520</v>
      </c>
      <c r="N8" s="12">
        <f t="shared" si="6"/>
        <v>170520</v>
      </c>
      <c r="O8" s="14">
        <f>IF(OR($N8="",$N$153=""),"",IFERROR($N8/$N$153,0))</f>
        <v>3.1019338670365131E-4</v>
      </c>
    </row>
    <row r="9" spans="1:15" ht="15.6">
      <c r="A9" s="34">
        <v>4</v>
      </c>
      <c r="B9" s="35" t="s">
        <v>175</v>
      </c>
      <c r="C9" s="36" t="s">
        <v>153</v>
      </c>
      <c r="D9" s="37">
        <v>1</v>
      </c>
      <c r="E9" s="39">
        <v>525552.30000000005</v>
      </c>
      <c r="F9" s="39">
        <v>0</v>
      </c>
      <c r="G9" s="39">
        <v>0</v>
      </c>
      <c r="H9" s="12">
        <f t="shared" si="0"/>
        <v>525552.30000000005</v>
      </c>
      <c r="I9" s="12">
        <f t="shared" si="1"/>
        <v>42044.184000000001</v>
      </c>
      <c r="J9" s="12">
        <f t="shared" si="2"/>
        <v>42044.184000000001</v>
      </c>
      <c r="K9" s="12">
        <f t="shared" si="3"/>
        <v>30482.033400000004</v>
      </c>
      <c r="L9" s="12">
        <f t="shared" si="4"/>
        <v>114570.4014</v>
      </c>
      <c r="M9" s="12">
        <f t="shared" si="5"/>
        <v>640122.70140000002</v>
      </c>
      <c r="N9" s="12">
        <f t="shared" si="6"/>
        <v>640122.70140000002</v>
      </c>
      <c r="O9" s="14">
        <f>IF(OR($N9="",$N$153=""),"",IFERROR($N9/$N$153,0))</f>
        <v>1.1644489130492382E-3</v>
      </c>
    </row>
    <row r="10" spans="1:15" ht="15.6">
      <c r="A10" s="34">
        <v>5</v>
      </c>
      <c r="B10" s="35" t="s">
        <v>176</v>
      </c>
      <c r="C10" s="36" t="s">
        <v>153</v>
      </c>
      <c r="D10" s="37">
        <v>1</v>
      </c>
      <c r="E10" s="39">
        <v>450000</v>
      </c>
      <c r="F10" s="39">
        <v>0</v>
      </c>
      <c r="G10" s="39">
        <v>0</v>
      </c>
      <c r="H10" s="12">
        <f t="shared" si="0"/>
        <v>450000</v>
      </c>
      <c r="I10" s="12">
        <f t="shared" si="1"/>
        <v>36000</v>
      </c>
      <c r="J10" s="12">
        <f t="shared" si="2"/>
        <v>36000</v>
      </c>
      <c r="K10" s="12">
        <f t="shared" si="3"/>
        <v>26100</v>
      </c>
      <c r="L10" s="12">
        <f t="shared" si="4"/>
        <v>98100</v>
      </c>
      <c r="M10" s="12">
        <f t="shared" si="5"/>
        <v>548100</v>
      </c>
      <c r="N10" s="12">
        <f t="shared" si="6"/>
        <v>548100</v>
      </c>
      <c r="O10" s="14">
        <f>IF(OR($N10="",$N$153=""),"",IFERROR($N10/$N$153,0))</f>
        <v>9.9705017154745048E-4</v>
      </c>
    </row>
    <row r="11" spans="1:15" ht="15.9" thickBot="1">
      <c r="A11" s="40">
        <v>6</v>
      </c>
      <c r="B11" s="41" t="s">
        <v>177</v>
      </c>
      <c r="C11" s="42" t="s">
        <v>153</v>
      </c>
      <c r="D11" s="43">
        <v>1</v>
      </c>
      <c r="E11" s="44">
        <v>2100000</v>
      </c>
      <c r="F11" s="44">
        <v>0</v>
      </c>
      <c r="G11" s="44">
        <v>0</v>
      </c>
      <c r="H11" s="12">
        <f t="shared" si="0"/>
        <v>2100000</v>
      </c>
      <c r="I11" s="12">
        <f t="shared" si="1"/>
        <v>168000</v>
      </c>
      <c r="J11" s="12">
        <f t="shared" si="2"/>
        <v>168000</v>
      </c>
      <c r="K11" s="12">
        <f t="shared" si="3"/>
        <v>121800</v>
      </c>
      <c r="L11" s="12">
        <f t="shared" si="4"/>
        <v>457800</v>
      </c>
      <c r="M11" s="12">
        <f t="shared" si="5"/>
        <v>2557800</v>
      </c>
      <c r="N11" s="12">
        <f t="shared" si="6"/>
        <v>2557800</v>
      </c>
      <c r="O11" s="14">
        <f>IF(OR($N11="",$N$153=""),"",IFERROR($N11/$N$153,0))</f>
        <v>4.6529008005547689E-3</v>
      </c>
    </row>
    <row r="12" spans="1:15" ht="15.9" thickBot="1">
      <c r="A12" s="45" t="s">
        <v>178</v>
      </c>
      <c r="B12" s="46" t="s">
        <v>179</v>
      </c>
      <c r="C12" s="47"/>
      <c r="D12" s="48"/>
      <c r="E12" s="48"/>
      <c r="F12" s="48"/>
      <c r="G12" s="48"/>
      <c r="H12" s="12"/>
      <c r="I12" s="12"/>
      <c r="J12" s="12"/>
      <c r="K12" s="12"/>
      <c r="L12" s="12"/>
      <c r="M12" s="12"/>
      <c r="N12" s="12"/>
      <c r="O12" s="14"/>
    </row>
    <row r="13" spans="1:15" ht="15.6">
      <c r="A13" s="49">
        <v>1</v>
      </c>
      <c r="B13" s="50" t="s">
        <v>180</v>
      </c>
      <c r="C13" s="51" t="s">
        <v>165</v>
      </c>
      <c r="D13" s="32">
        <v>4016.2049999999999</v>
      </c>
      <c r="E13" s="32">
        <v>0</v>
      </c>
      <c r="F13" s="32">
        <v>22.103951367024344</v>
      </c>
      <c r="G13" s="32">
        <v>148.14980808997549</v>
      </c>
      <c r="H13" s="12">
        <f t="shared" si="0"/>
        <v>683774</v>
      </c>
      <c r="I13" s="12">
        <f t="shared" si="1"/>
        <v>54701.919999999998</v>
      </c>
      <c r="J13" s="12">
        <f t="shared" si="2"/>
        <v>54701.919999999998</v>
      </c>
      <c r="K13" s="12">
        <f t="shared" si="3"/>
        <v>39658.892000000007</v>
      </c>
      <c r="L13" s="12">
        <f t="shared" si="4"/>
        <v>149062.73200000002</v>
      </c>
      <c r="M13" s="12">
        <f t="shared" si="5"/>
        <v>207.36907901862583</v>
      </c>
      <c r="N13" s="12">
        <f t="shared" si="6"/>
        <v>832836.73200000008</v>
      </c>
      <c r="O13" s="14">
        <f>IF(OR($N13="",$N$153=""),"",IFERROR($N13/$N$153,0))</f>
        <v>1.5150155199993034E-3</v>
      </c>
    </row>
    <row r="14" spans="1:15" ht="15.6">
      <c r="A14" s="49">
        <v>2</v>
      </c>
      <c r="B14" s="52" t="s">
        <v>181</v>
      </c>
      <c r="C14" s="51" t="s">
        <v>165</v>
      </c>
      <c r="D14" s="37">
        <v>3226.4866000000002</v>
      </c>
      <c r="E14" s="37">
        <v>0</v>
      </c>
      <c r="F14" s="53">
        <v>32.369575004588583</v>
      </c>
      <c r="G14" s="37">
        <v>211.37543233559376</v>
      </c>
      <c r="H14" s="12">
        <f t="shared" si="0"/>
        <v>786440</v>
      </c>
      <c r="I14" s="12">
        <f t="shared" si="1"/>
        <v>62915.200000000004</v>
      </c>
      <c r="J14" s="12">
        <f t="shared" si="2"/>
        <v>62915.200000000004</v>
      </c>
      <c r="K14" s="12">
        <f t="shared" si="3"/>
        <v>45613.52</v>
      </c>
      <c r="L14" s="12">
        <f t="shared" si="4"/>
        <v>171443.92</v>
      </c>
      <c r="M14" s="12">
        <f t="shared" si="5"/>
        <v>296.88141894034209</v>
      </c>
      <c r="N14" s="12">
        <f t="shared" si="6"/>
        <v>957883.92</v>
      </c>
      <c r="O14" s="14">
        <f>IF(OR($N14="",$N$153=""),"",IFERROR($N14/$N$153,0))</f>
        <v>1.7424891931372823E-3</v>
      </c>
    </row>
    <row r="15" spans="1:15" ht="15.6">
      <c r="A15" s="49">
        <v>3</v>
      </c>
      <c r="B15" s="52" t="s">
        <v>182</v>
      </c>
      <c r="C15" s="51" t="s">
        <v>165</v>
      </c>
      <c r="D15" s="37">
        <v>870.00392999999997</v>
      </c>
      <c r="E15" s="37">
        <v>1150</v>
      </c>
      <c r="F15" s="53">
        <v>18.006815210593359</v>
      </c>
      <c r="G15" s="37">
        <v>124.13737027601704</v>
      </c>
      <c r="H15" s="12">
        <f t="shared" si="0"/>
        <v>1124170.5194999999</v>
      </c>
      <c r="I15" s="12">
        <f t="shared" si="1"/>
        <v>89933.641560000004</v>
      </c>
      <c r="J15" s="12">
        <f t="shared" si="2"/>
        <v>89933.641560000004</v>
      </c>
      <c r="K15" s="12">
        <f t="shared" si="3"/>
        <v>65201.890130999993</v>
      </c>
      <c r="L15" s="12">
        <f t="shared" si="4"/>
        <v>245069.173251</v>
      </c>
      <c r="M15" s="12">
        <f t="shared" si="5"/>
        <v>1573.8316179226915</v>
      </c>
      <c r="N15" s="12">
        <f t="shared" si="6"/>
        <v>1369239.6927509999</v>
      </c>
      <c r="O15" s="14">
        <f>IF(OR($N15="",$N$153=""),"",IFERROR($N15/$N$153,0))</f>
        <v>2.4907875762579146E-3</v>
      </c>
    </row>
    <row r="16" spans="1:15" ht="15.6">
      <c r="A16" s="49">
        <v>4</v>
      </c>
      <c r="B16" s="52" t="s">
        <v>239</v>
      </c>
      <c r="C16" s="51" t="s">
        <v>165</v>
      </c>
      <c r="D16" s="37">
        <v>1598.20263</v>
      </c>
      <c r="E16" s="37">
        <v>659.99999999999989</v>
      </c>
      <c r="F16" s="53">
        <v>19.221592696290333</v>
      </c>
      <c r="G16" s="37">
        <v>112.62651970482617</v>
      </c>
      <c r="H16" s="12">
        <f t="shared" si="0"/>
        <v>1265533.7357999999</v>
      </c>
      <c r="I16" s="12">
        <f t="shared" si="1"/>
        <v>101242.69886399999</v>
      </c>
      <c r="J16" s="12">
        <f t="shared" si="2"/>
        <v>101242.69886399999</v>
      </c>
      <c r="K16" s="12">
        <f t="shared" si="3"/>
        <v>73400.95667639999</v>
      </c>
      <c r="L16" s="12">
        <f t="shared" si="4"/>
        <v>275886.35440439999</v>
      </c>
      <c r="M16" s="12">
        <f t="shared" si="5"/>
        <v>964.4710009045599</v>
      </c>
      <c r="N16" s="12">
        <f t="shared" si="6"/>
        <v>1541420.0902044</v>
      </c>
      <c r="O16" s="14">
        <f>IF(OR($N16="",$N$153=""),"",IFERROR($N16/$N$153,0))</f>
        <v>2.8040013963966134E-3</v>
      </c>
    </row>
    <row r="17" spans="1:15" ht="15.9" thickBot="1">
      <c r="A17" s="54">
        <v>5</v>
      </c>
      <c r="B17" s="55" t="s">
        <v>281</v>
      </c>
      <c r="C17" s="56" t="s">
        <v>183</v>
      </c>
      <c r="D17" s="57">
        <v>581</v>
      </c>
      <c r="E17" s="57">
        <v>160</v>
      </c>
      <c r="F17" s="58">
        <v>0</v>
      </c>
      <c r="G17" s="57">
        <v>0</v>
      </c>
      <c r="H17" s="12">
        <f t="shared" si="0"/>
        <v>92960</v>
      </c>
      <c r="I17" s="12">
        <f t="shared" si="1"/>
        <v>7436.8</v>
      </c>
      <c r="J17" s="12">
        <f t="shared" si="2"/>
        <v>7436.8</v>
      </c>
      <c r="K17" s="12">
        <f t="shared" si="3"/>
        <v>5391.68</v>
      </c>
      <c r="L17" s="12">
        <f t="shared" si="4"/>
        <v>20265.28</v>
      </c>
      <c r="M17" s="12">
        <f t="shared" si="5"/>
        <v>194.88</v>
      </c>
      <c r="N17" s="12">
        <f t="shared" si="6"/>
        <v>113225.28</v>
      </c>
      <c r="O17" s="14">
        <f>IF(OR($N17="",$N$153=""),"",IFERROR($N17/$N$153,0))</f>
        <v>2.0596840877122445E-4</v>
      </c>
    </row>
    <row r="18" spans="1:15" ht="15.9" thickBot="1">
      <c r="A18" s="46" t="s">
        <v>184</v>
      </c>
      <c r="B18" s="59"/>
      <c r="C18" s="47"/>
      <c r="D18" s="48"/>
      <c r="E18" s="48"/>
      <c r="F18" s="48"/>
      <c r="G18" s="48"/>
      <c r="H18" s="12"/>
      <c r="I18" s="12"/>
      <c r="J18" s="12"/>
      <c r="K18" s="12"/>
      <c r="L18" s="12"/>
      <c r="M18" s="12"/>
      <c r="N18" s="12"/>
      <c r="O18" s="14"/>
    </row>
    <row r="19" spans="1:15" ht="15.9" thickBot="1">
      <c r="A19" s="60">
        <v>1</v>
      </c>
      <c r="B19" s="61" t="s">
        <v>185</v>
      </c>
      <c r="C19" s="62" t="s">
        <v>186</v>
      </c>
      <c r="D19" s="37">
        <v>2464.8845460000002</v>
      </c>
      <c r="E19" s="37">
        <v>5200.2435654850342</v>
      </c>
      <c r="F19" s="37">
        <v>823.7903082702843</v>
      </c>
      <c r="G19" s="37">
        <v>268.97811545612245</v>
      </c>
      <c r="H19" s="12">
        <f t="shared" si="0"/>
        <v>15511548</v>
      </c>
      <c r="I19" s="12">
        <f t="shared" si="1"/>
        <v>1240923.8400000001</v>
      </c>
      <c r="J19" s="12">
        <f t="shared" si="2"/>
        <v>1240923.8400000001</v>
      </c>
      <c r="K19" s="12">
        <f t="shared" si="3"/>
        <v>899669.78399999999</v>
      </c>
      <c r="L19" s="12">
        <f t="shared" si="4"/>
        <v>3381517.4640000002</v>
      </c>
      <c r="M19" s="12">
        <f t="shared" si="5"/>
        <v>7664.8886028595352</v>
      </c>
      <c r="N19" s="12">
        <f t="shared" si="6"/>
        <v>18893065.464000002</v>
      </c>
      <c r="O19" s="14">
        <f>IF(OR($N19="",$N$153=""),"",IFERROR($N19/$N$153,0))</f>
        <v>3.436842576525892E-2</v>
      </c>
    </row>
    <row r="20" spans="1:15" ht="15.9" thickBot="1">
      <c r="A20" s="46" t="s">
        <v>187</v>
      </c>
      <c r="B20" s="59"/>
      <c r="C20" s="47"/>
      <c r="D20" s="48"/>
      <c r="E20" s="48"/>
      <c r="F20" s="48"/>
      <c r="G20" s="48"/>
      <c r="H20" s="12"/>
      <c r="I20" s="12"/>
      <c r="J20" s="12"/>
      <c r="K20" s="12"/>
      <c r="L20" s="12"/>
      <c r="M20" s="12"/>
      <c r="N20" s="12"/>
      <c r="O20" s="14"/>
    </row>
    <row r="21" spans="1:15" ht="15.9" thickBot="1">
      <c r="A21" s="60">
        <v>1</v>
      </c>
      <c r="B21" s="61" t="s">
        <v>187</v>
      </c>
      <c r="C21" s="51" t="s">
        <v>188</v>
      </c>
      <c r="D21" s="32">
        <v>470437.09765500005</v>
      </c>
      <c r="E21" s="63">
        <v>66</v>
      </c>
      <c r="F21" s="63">
        <v>5.8411039726615703</v>
      </c>
      <c r="G21" s="63">
        <v>2.193704546567941</v>
      </c>
      <c r="H21" s="12">
        <f t="shared" si="0"/>
        <v>34828720.445230007</v>
      </c>
      <c r="I21" s="12">
        <f t="shared" si="1"/>
        <v>2786297.6356184008</v>
      </c>
      <c r="J21" s="12">
        <f t="shared" si="2"/>
        <v>2786297.6356184008</v>
      </c>
      <c r="K21" s="12">
        <f t="shared" si="3"/>
        <v>2020065.7858233408</v>
      </c>
      <c r="L21" s="12">
        <f t="shared" si="4"/>
        <v>7592661.057060142</v>
      </c>
      <c r="M21" s="12">
        <f t="shared" si="5"/>
        <v>90.17439677642156</v>
      </c>
      <c r="N21" s="12">
        <f t="shared" si="6"/>
        <v>42421381.502290152</v>
      </c>
      <c r="O21" s="14">
        <f>IF(OR($N21="",$N$153=""),"",IFERROR($N21/$N$153,0))</f>
        <v>7.716884821043285E-2</v>
      </c>
    </row>
    <row r="22" spans="1:15" ht="15.9" thickBot="1">
      <c r="A22" s="46" t="s">
        <v>189</v>
      </c>
      <c r="B22" s="59"/>
      <c r="C22" s="47"/>
      <c r="D22" s="48"/>
      <c r="E22" s="48"/>
      <c r="F22" s="48"/>
      <c r="G22" s="48"/>
      <c r="H22" s="12">
        <f t="shared" si="0"/>
        <v>0</v>
      </c>
      <c r="I22" s="12">
        <f t="shared" si="1"/>
        <v>0</v>
      </c>
      <c r="J22" s="12">
        <f t="shared" si="2"/>
        <v>0</v>
      </c>
      <c r="K22" s="12">
        <f t="shared" si="3"/>
        <v>0</v>
      </c>
      <c r="L22" s="12">
        <f t="shared" si="4"/>
        <v>0</v>
      </c>
      <c r="M22" s="12" t="str">
        <f t="shared" si="5"/>
        <v/>
      </c>
      <c r="N22" s="12">
        <f t="shared" si="6"/>
        <v>0</v>
      </c>
      <c r="O22" s="14">
        <f>IF(OR($N22="",$N$153=""),"",IFERROR($N22/$N$153,0))</f>
        <v>0</v>
      </c>
    </row>
    <row r="23" spans="1:15" ht="15.9" thickBot="1">
      <c r="A23" s="60">
        <v>1</v>
      </c>
      <c r="B23" s="61" t="s">
        <v>190</v>
      </c>
      <c r="C23" s="51" t="s">
        <v>191</v>
      </c>
      <c r="D23" s="32">
        <v>3636.3119999999999</v>
      </c>
      <c r="E23" s="63">
        <v>450</v>
      </c>
      <c r="F23" s="63">
        <v>298.15483379863997</v>
      </c>
      <c r="G23" s="63">
        <v>0</v>
      </c>
      <c r="H23" s="12">
        <f t="shared" si="0"/>
        <v>2720524.4</v>
      </c>
      <c r="I23" s="12">
        <f t="shared" si="1"/>
        <v>217641.95199999999</v>
      </c>
      <c r="J23" s="12">
        <f t="shared" si="2"/>
        <v>217641.95199999999</v>
      </c>
      <c r="K23" s="12">
        <f t="shared" si="3"/>
        <v>157790.41520000002</v>
      </c>
      <c r="L23" s="12">
        <f t="shared" si="4"/>
        <v>593074.31920000003</v>
      </c>
      <c r="M23" s="12">
        <f t="shared" si="5"/>
        <v>911.2525875667435</v>
      </c>
      <c r="N23" s="12">
        <f t="shared" si="6"/>
        <v>3313598.7192000002</v>
      </c>
      <c r="O23" s="14">
        <f>IF(OR($N23="",$N$153=""),"",IFERROR($N23/$N$153,0))</f>
        <v>6.0277762660422779E-3</v>
      </c>
    </row>
    <row r="24" spans="1:15" ht="15.9" thickBot="1">
      <c r="A24" s="46" t="s">
        <v>192</v>
      </c>
      <c r="B24" s="59"/>
      <c r="C24" s="47"/>
      <c r="D24" s="48"/>
      <c r="E24" s="48"/>
      <c r="F24" s="48"/>
      <c r="G24" s="48"/>
      <c r="H24" s="12">
        <f t="shared" si="0"/>
        <v>0</v>
      </c>
      <c r="I24" s="12">
        <f t="shared" si="1"/>
        <v>0</v>
      </c>
      <c r="J24" s="12">
        <f t="shared" si="2"/>
        <v>0</v>
      </c>
      <c r="K24" s="12">
        <f t="shared" si="3"/>
        <v>0</v>
      </c>
      <c r="L24" s="12">
        <f t="shared" si="4"/>
        <v>0</v>
      </c>
      <c r="M24" s="12" t="str">
        <f t="shared" si="5"/>
        <v/>
      </c>
      <c r="N24" s="12">
        <f t="shared" si="6"/>
        <v>0</v>
      </c>
      <c r="O24" s="14">
        <f>IF(OR($N24="",$N$153=""),"",IFERROR($N24/$N$153,0))</f>
        <v>0</v>
      </c>
    </row>
    <row r="25" spans="1:15" ht="15.9" thickBot="1">
      <c r="A25" s="64">
        <v>1</v>
      </c>
      <c r="B25" s="65" t="s">
        <v>193</v>
      </c>
      <c r="C25" s="66" t="s">
        <v>194</v>
      </c>
      <c r="D25" s="67">
        <v>863268.8</v>
      </c>
      <c r="E25" s="63">
        <v>111.75711491021104</v>
      </c>
      <c r="F25" s="63">
        <v>24.98724035897046</v>
      </c>
      <c r="G25" s="63">
        <v>11.977428119723543</v>
      </c>
      <c r="H25" s="12">
        <f t="shared" si="0"/>
        <v>128386875.48000002</v>
      </c>
      <c r="I25" s="12">
        <f t="shared" si="1"/>
        <v>10270950.038400002</v>
      </c>
      <c r="J25" s="12">
        <f t="shared" si="2"/>
        <v>10270950.038400002</v>
      </c>
      <c r="K25" s="12">
        <f t="shared" si="3"/>
        <v>7446438.7778400006</v>
      </c>
      <c r="L25" s="12">
        <f t="shared" si="4"/>
        <v>27988338.854640003</v>
      </c>
      <c r="M25" s="12">
        <f t="shared" si="5"/>
        <v>181.14313216768639</v>
      </c>
      <c r="N25" s="12">
        <f t="shared" si="6"/>
        <v>156375214.33464003</v>
      </c>
      <c r="O25" s="14">
        <f>IF(OR($N25="",$N$153=""),"",IFERROR($N25/$N$153,0))</f>
        <v>0.28446256938172265</v>
      </c>
    </row>
    <row r="26" spans="1:15" ht="15.9" thickBot="1">
      <c r="A26" s="46" t="s">
        <v>195</v>
      </c>
      <c r="B26" s="59"/>
      <c r="C26" s="47"/>
      <c r="D26" s="48"/>
      <c r="E26" s="48"/>
      <c r="F26" s="48"/>
      <c r="G26" s="48"/>
      <c r="H26" s="12">
        <f t="shared" si="0"/>
        <v>0</v>
      </c>
      <c r="I26" s="12">
        <f t="shared" si="1"/>
        <v>0</v>
      </c>
      <c r="J26" s="12">
        <f t="shared" si="2"/>
        <v>0</v>
      </c>
      <c r="K26" s="12">
        <f t="shared" si="3"/>
        <v>0</v>
      </c>
      <c r="L26" s="12">
        <f t="shared" si="4"/>
        <v>0</v>
      </c>
      <c r="M26" s="12" t="str">
        <f t="shared" si="5"/>
        <v/>
      </c>
      <c r="N26" s="12">
        <f t="shared" si="6"/>
        <v>0</v>
      </c>
      <c r="O26" s="14">
        <f>IF(OR($N26="",$N$153=""),"",IFERROR($N26/$N$153,0))</f>
        <v>0</v>
      </c>
    </row>
    <row r="27" spans="1:15" ht="15.6">
      <c r="A27" s="60">
        <v>1</v>
      </c>
      <c r="B27" s="68" t="s">
        <v>196</v>
      </c>
      <c r="C27" s="62" t="s">
        <v>164</v>
      </c>
      <c r="D27" s="37">
        <v>4791.0106000000005</v>
      </c>
      <c r="E27" s="37">
        <v>714.42933702815014</v>
      </c>
      <c r="F27" s="37">
        <v>219.2908944931159</v>
      </c>
      <c r="G27" s="32">
        <v>78.271586374699311</v>
      </c>
      <c r="H27" s="12">
        <f t="shared" si="0"/>
        <v>4848463.52665284</v>
      </c>
      <c r="I27" s="12">
        <f t="shared" si="1"/>
        <v>387877.08213222719</v>
      </c>
      <c r="J27" s="12">
        <f t="shared" si="2"/>
        <v>387877.08213222719</v>
      </c>
      <c r="K27" s="12">
        <f t="shared" si="3"/>
        <v>281210.88454586471</v>
      </c>
      <c r="L27" s="12">
        <f t="shared" si="4"/>
        <v>1056965.048810319</v>
      </c>
      <c r="M27" s="12">
        <f t="shared" si="5"/>
        <v>1232.6060341972857</v>
      </c>
      <c r="N27" s="12">
        <f t="shared" si="6"/>
        <v>5905428.575463159</v>
      </c>
      <c r="O27" s="14">
        <f>IF(OR($N27="",$N$153=""),"",IFERROR($N27/$N$153,0))</f>
        <v>1.074258086886838E-2</v>
      </c>
    </row>
    <row r="28" spans="1:15" ht="15.6">
      <c r="A28" s="60">
        <v>2</v>
      </c>
      <c r="B28" s="68" t="s">
        <v>197</v>
      </c>
      <c r="C28" s="62" t="s">
        <v>164</v>
      </c>
      <c r="D28" s="37">
        <v>6966.5560000000005</v>
      </c>
      <c r="E28" s="69">
        <v>511.28549444781601</v>
      </c>
      <c r="F28" s="69">
        <v>219.57908613667928</v>
      </c>
      <c r="G28" s="69">
        <v>78.374450732901593</v>
      </c>
      <c r="H28" s="12">
        <f t="shared" si="0"/>
        <v>5637609.0290583996</v>
      </c>
      <c r="I28" s="12">
        <f t="shared" si="1"/>
        <v>451008.72232467198</v>
      </c>
      <c r="J28" s="12">
        <f t="shared" si="2"/>
        <v>451008.72232467198</v>
      </c>
      <c r="K28" s="12">
        <f t="shared" si="3"/>
        <v>326981.32368538721</v>
      </c>
      <c r="L28" s="12">
        <f t="shared" si="4"/>
        <v>1228998.7683347312</v>
      </c>
      <c r="M28" s="12">
        <f t="shared" si="5"/>
        <v>985.65314014458943</v>
      </c>
      <c r="N28" s="12">
        <f t="shared" si="6"/>
        <v>6866607.7973931311</v>
      </c>
      <c r="O28" s="14">
        <f>IF(OR($N28="",$N$153=""),"",IFERROR($N28/$N$153,0))</f>
        <v>1.249106455453363E-2</v>
      </c>
    </row>
    <row r="29" spans="1:15" ht="15.6">
      <c r="A29" s="60">
        <v>3</v>
      </c>
      <c r="B29" s="68" t="s">
        <v>198</v>
      </c>
      <c r="C29" s="62" t="s">
        <v>164</v>
      </c>
      <c r="D29" s="37">
        <v>1846.6439999999996</v>
      </c>
      <c r="E29" s="69">
        <v>712.63676160646014</v>
      </c>
      <c r="F29" s="69">
        <v>200.26599604471684</v>
      </c>
      <c r="G29" s="69">
        <v>6.4982747080650105</v>
      </c>
      <c r="H29" s="12">
        <f t="shared" si="0"/>
        <v>1697806.3999999997</v>
      </c>
      <c r="I29" s="12">
        <f t="shared" si="1"/>
        <v>135824.51199999999</v>
      </c>
      <c r="J29" s="12">
        <f t="shared" si="2"/>
        <v>135824.51199999999</v>
      </c>
      <c r="K29" s="12">
        <f t="shared" si="3"/>
        <v>98472.771199999988</v>
      </c>
      <c r="L29" s="12">
        <f t="shared" si="4"/>
        <v>370121.79519999993</v>
      </c>
      <c r="M29" s="12">
        <f t="shared" si="5"/>
        <v>1119.8304574135566</v>
      </c>
      <c r="N29" s="12">
        <f t="shared" si="6"/>
        <v>2067928.1951999995</v>
      </c>
      <c r="O29" s="14">
        <f>IF(OR($N29="",$N$153=""),"",IFERROR($N29/$N$153,0))</f>
        <v>3.7617736941652422E-3</v>
      </c>
    </row>
    <row r="30" spans="1:15" ht="15.9" thickBot="1">
      <c r="A30" s="70">
        <v>4</v>
      </c>
      <c r="B30" s="71" t="s">
        <v>199</v>
      </c>
      <c r="C30" s="72" t="s">
        <v>164</v>
      </c>
      <c r="D30" s="73">
        <v>23515.133200000004</v>
      </c>
      <c r="E30" s="74">
        <v>112.53391496842551</v>
      </c>
      <c r="F30" s="74">
        <v>222.78113227953133</v>
      </c>
      <c r="G30" s="74">
        <v>60.216541745976578</v>
      </c>
      <c r="H30" s="12">
        <f t="shared" si="0"/>
        <v>9300978</v>
      </c>
      <c r="I30" s="12">
        <f t="shared" si="1"/>
        <v>744078.24</v>
      </c>
      <c r="J30" s="12">
        <f t="shared" si="2"/>
        <v>744078.24</v>
      </c>
      <c r="K30" s="12">
        <f t="shared" si="3"/>
        <v>539456.72400000005</v>
      </c>
      <c r="L30" s="12">
        <f t="shared" si="4"/>
        <v>2027613.2039999999</v>
      </c>
      <c r="M30" s="12">
        <f t="shared" si="5"/>
        <v>481.75747539461094</v>
      </c>
      <c r="N30" s="12">
        <f t="shared" si="6"/>
        <v>11328591.204</v>
      </c>
      <c r="O30" s="14">
        <f>IF(OR($N30="",$N$153=""),"",IFERROR($N30/$N$153,0))</f>
        <v>2.0607870467686806E-2</v>
      </c>
    </row>
    <row r="31" spans="1:15" ht="15.9" thickBot="1">
      <c r="A31" s="46" t="s">
        <v>200</v>
      </c>
      <c r="B31" s="75"/>
      <c r="C31" s="47"/>
      <c r="D31" s="48"/>
      <c r="E31" s="48"/>
      <c r="F31" s="48"/>
      <c r="G31" s="48"/>
      <c r="H31" s="12">
        <f t="shared" si="0"/>
        <v>0</v>
      </c>
      <c r="I31" s="12">
        <f t="shared" si="1"/>
        <v>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12" t="str">
        <f t="shared" si="5"/>
        <v/>
      </c>
      <c r="N31" s="12">
        <f t="shared" si="6"/>
        <v>0</v>
      </c>
      <c r="O31" s="14">
        <f>IF(OR($N31="",$N$153=""),"",IFERROR($N31/$N$153,0))</f>
        <v>0</v>
      </c>
    </row>
    <row r="32" spans="1:15" ht="15.6">
      <c r="A32" s="49">
        <v>1</v>
      </c>
      <c r="B32" s="76" t="s">
        <v>201</v>
      </c>
      <c r="C32" s="51" t="s">
        <v>191</v>
      </c>
      <c r="D32" s="32">
        <v>6731.36</v>
      </c>
      <c r="E32" s="77">
        <v>965.17197119155719</v>
      </c>
      <c r="F32" s="77">
        <v>199.18619714292507</v>
      </c>
      <c r="G32" s="32">
        <v>0</v>
      </c>
      <c r="H32" s="12">
        <f t="shared" si="0"/>
        <v>7837714.0000000009</v>
      </c>
      <c r="I32" s="12">
        <f t="shared" si="1"/>
        <v>627017.12000000011</v>
      </c>
      <c r="J32" s="12">
        <f t="shared" si="2"/>
        <v>627017.12000000011</v>
      </c>
      <c r="K32" s="12">
        <f t="shared" si="3"/>
        <v>454587.41200000013</v>
      </c>
      <c r="L32" s="12">
        <f t="shared" si="4"/>
        <v>1708621.6520000002</v>
      </c>
      <c r="M32" s="12">
        <f t="shared" si="5"/>
        <v>1418.1882490313994</v>
      </c>
      <c r="N32" s="12">
        <f t="shared" si="6"/>
        <v>9546335.6520000007</v>
      </c>
      <c r="O32" s="14">
        <f>IF(OR($N32="",$N$153=""),"",IFERROR($N32/$N$153,0))</f>
        <v>1.7365764640533011E-2</v>
      </c>
    </row>
    <row r="33" spans="1:15" ht="15.6">
      <c r="A33" s="49">
        <v>2</v>
      </c>
      <c r="B33" s="76" t="s">
        <v>202</v>
      </c>
      <c r="C33" s="62" t="s">
        <v>191</v>
      </c>
      <c r="D33" s="32">
        <v>984.54</v>
      </c>
      <c r="E33" s="69">
        <v>2300</v>
      </c>
      <c r="F33" s="69">
        <v>205.56198833973227</v>
      </c>
      <c r="G33" s="69">
        <v>0</v>
      </c>
      <c r="H33" s="12">
        <f t="shared" si="0"/>
        <v>2466826</v>
      </c>
      <c r="I33" s="12">
        <f t="shared" si="1"/>
        <v>197346.08000000002</v>
      </c>
      <c r="J33" s="12">
        <f t="shared" si="2"/>
        <v>197346.08000000002</v>
      </c>
      <c r="K33" s="12">
        <f t="shared" si="3"/>
        <v>143075.90800000002</v>
      </c>
      <c r="L33" s="12">
        <f t="shared" si="4"/>
        <v>537768.06800000009</v>
      </c>
      <c r="M33" s="12">
        <f t="shared" si="5"/>
        <v>3051.7745017977941</v>
      </c>
      <c r="N33" s="12">
        <f t="shared" si="6"/>
        <v>3004594.068</v>
      </c>
      <c r="O33" s="14">
        <f>IF(OR($N33="",$N$153=""),"",IFERROR($N33/$N$153,0))</f>
        <v>5.4656650810615808E-3</v>
      </c>
    </row>
    <row r="34" spans="1:15" ht="15.6">
      <c r="A34" s="60">
        <v>3</v>
      </c>
      <c r="B34" s="68" t="s">
        <v>203</v>
      </c>
      <c r="C34" s="62" t="s">
        <v>191</v>
      </c>
      <c r="D34" s="37">
        <v>10549.369400000007</v>
      </c>
      <c r="E34" s="69">
        <v>1119.6098479592533</v>
      </c>
      <c r="F34" s="69">
        <v>259.92074938621431</v>
      </c>
      <c r="G34" s="69">
        <v>0</v>
      </c>
      <c r="H34" s="12">
        <f t="shared" si="0"/>
        <v>14553177.870000007</v>
      </c>
      <c r="I34" s="12">
        <f t="shared" si="1"/>
        <v>1164254.2296000007</v>
      </c>
      <c r="J34" s="12">
        <f t="shared" si="2"/>
        <v>1164254.2296000007</v>
      </c>
      <c r="K34" s="12">
        <f t="shared" si="3"/>
        <v>844084.31646000035</v>
      </c>
      <c r="L34" s="12">
        <f t="shared" si="4"/>
        <v>3172592.7756600017</v>
      </c>
      <c r="M34" s="12">
        <f t="shared" si="5"/>
        <v>1680.2682675667797</v>
      </c>
      <c r="N34" s="12">
        <f t="shared" si="6"/>
        <v>17725770.645660009</v>
      </c>
      <c r="O34" s="14">
        <f>IF(OR($N34="",$N$153=""),"",IFERROR($N34/$N$153,0))</f>
        <v>3.2244996648542378E-2</v>
      </c>
    </row>
    <row r="35" spans="1:15" ht="15.6">
      <c r="A35" s="49">
        <v>4</v>
      </c>
      <c r="B35" s="68" t="s">
        <v>204</v>
      </c>
      <c r="C35" s="62" t="s">
        <v>166</v>
      </c>
      <c r="D35" s="37">
        <v>415.28000000000003</v>
      </c>
      <c r="E35" s="37">
        <v>4496.4415575033718</v>
      </c>
      <c r="F35" s="37">
        <v>1335.7975341937968</v>
      </c>
      <c r="G35" s="37">
        <v>0</v>
      </c>
      <c r="H35" s="12">
        <f t="shared" si="0"/>
        <v>2422012.2500000005</v>
      </c>
      <c r="I35" s="12">
        <f t="shared" si="1"/>
        <v>193760.98000000004</v>
      </c>
      <c r="J35" s="12">
        <f t="shared" si="2"/>
        <v>193760.98000000004</v>
      </c>
      <c r="K35" s="12">
        <f t="shared" si="3"/>
        <v>140476.71050000002</v>
      </c>
      <c r="L35" s="12">
        <f t="shared" si="4"/>
        <v>527998.67050000012</v>
      </c>
      <c r="M35" s="12">
        <f t="shared" si="5"/>
        <v>7103.6672136871512</v>
      </c>
      <c r="N35" s="12">
        <f t="shared" si="6"/>
        <v>2950010.9205000005</v>
      </c>
      <c r="O35" s="14">
        <f>IF(OR($N35="",$N$153=""),"",IFERROR($N35/$N$153,0))</f>
        <v>5.3663727318945045E-3</v>
      </c>
    </row>
    <row r="36" spans="1:15" ht="15.6">
      <c r="A36" s="60">
        <v>5</v>
      </c>
      <c r="B36" s="68" t="s">
        <v>205</v>
      </c>
      <c r="C36" s="62" t="s">
        <v>153</v>
      </c>
      <c r="D36" s="37">
        <v>257.08000000000004</v>
      </c>
      <c r="E36" s="69">
        <v>6757.8185778745901</v>
      </c>
      <c r="F36" s="69">
        <v>2027.0343861832889</v>
      </c>
      <c r="G36" s="69">
        <v>0</v>
      </c>
      <c r="H36" s="12">
        <f t="shared" si="0"/>
        <v>2258409.9999999995</v>
      </c>
      <c r="I36" s="12">
        <f t="shared" si="1"/>
        <v>180672.79999999996</v>
      </c>
      <c r="J36" s="12">
        <f t="shared" si="2"/>
        <v>180672.79999999996</v>
      </c>
      <c r="K36" s="12">
        <f t="shared" si="3"/>
        <v>130987.77999999997</v>
      </c>
      <c r="L36" s="12">
        <f t="shared" si="4"/>
        <v>492333.37999999989</v>
      </c>
      <c r="M36" s="12">
        <f t="shared" si="5"/>
        <v>10699.950910222495</v>
      </c>
      <c r="N36" s="12">
        <f t="shared" si="6"/>
        <v>2750743.3799999994</v>
      </c>
      <c r="O36" s="14">
        <f>IF(OR($N36="",$N$153=""),"",IFERROR($N36/$N$153,0))</f>
        <v>5.0038846176099494E-3</v>
      </c>
    </row>
    <row r="37" spans="1:15" ht="15.6">
      <c r="A37" s="49">
        <v>6</v>
      </c>
      <c r="B37" s="68" t="s">
        <v>206</v>
      </c>
      <c r="C37" s="62" t="s">
        <v>153</v>
      </c>
      <c r="D37" s="37">
        <v>1</v>
      </c>
      <c r="E37" s="69">
        <v>10029895.300000001</v>
      </c>
      <c r="F37" s="69">
        <v>3004370</v>
      </c>
      <c r="G37" s="69">
        <v>0</v>
      </c>
      <c r="H37" s="12">
        <f t="shared" si="0"/>
        <v>13034265.300000001</v>
      </c>
      <c r="I37" s="12">
        <f t="shared" si="1"/>
        <v>1042741.224</v>
      </c>
      <c r="J37" s="12">
        <f t="shared" si="2"/>
        <v>1042741.224</v>
      </c>
      <c r="K37" s="12">
        <f t="shared" si="3"/>
        <v>755987.38740000001</v>
      </c>
      <c r="L37" s="12">
        <f t="shared" si="4"/>
        <v>2841469.8354000002</v>
      </c>
      <c r="M37" s="12">
        <f t="shared" si="5"/>
        <v>15875735.135400001</v>
      </c>
      <c r="N37" s="12">
        <f t="shared" si="6"/>
        <v>15875735.135400001</v>
      </c>
      <c r="O37" s="14">
        <f>IF(OR($N37="",$N$153=""),"",IFERROR($N37/$N$153,0))</f>
        <v>2.887959211857774E-2</v>
      </c>
    </row>
    <row r="38" spans="1:15" ht="15.6">
      <c r="A38" s="60">
        <v>7</v>
      </c>
      <c r="B38" s="71" t="s">
        <v>207</v>
      </c>
      <c r="C38" s="62" t="s">
        <v>164</v>
      </c>
      <c r="D38" s="37">
        <v>31600.764400000004</v>
      </c>
      <c r="E38" s="69">
        <v>174.44198280216284</v>
      </c>
      <c r="F38" s="69">
        <v>299.55066529972925</v>
      </c>
      <c r="G38" s="69">
        <v>0</v>
      </c>
      <c r="H38" s="12">
        <f t="shared" si="0"/>
        <v>14978530</v>
      </c>
      <c r="I38" s="12">
        <f t="shared" si="1"/>
        <v>1198282.4000000001</v>
      </c>
      <c r="J38" s="12">
        <f t="shared" si="2"/>
        <v>1198282.4000000001</v>
      </c>
      <c r="K38" s="12">
        <f t="shared" si="3"/>
        <v>868754.74000000011</v>
      </c>
      <c r="L38" s="12">
        <f t="shared" si="4"/>
        <v>3265319.5400000005</v>
      </c>
      <c r="M38" s="12">
        <f t="shared" si="5"/>
        <v>577.32304538810456</v>
      </c>
      <c r="N38" s="12">
        <f t="shared" si="6"/>
        <v>18243849.539999999</v>
      </c>
      <c r="O38" s="14">
        <f>IF(OR($N38="",$N$153=""),"",IFERROR($N38/$N$153,0))</f>
        <v>3.3187435346730298E-2</v>
      </c>
    </row>
    <row r="39" spans="1:15" ht="15.6">
      <c r="A39" s="49">
        <v>8</v>
      </c>
      <c r="B39" s="68" t="s">
        <v>208</v>
      </c>
      <c r="C39" s="62" t="s">
        <v>153</v>
      </c>
      <c r="D39" s="37">
        <v>787.58339999999998</v>
      </c>
      <c r="E39" s="69">
        <v>5274.5796826088517</v>
      </c>
      <c r="F39" s="69">
        <v>1044.4608151974762</v>
      </c>
      <c r="G39" s="69">
        <v>0</v>
      </c>
      <c r="H39" s="12">
        <f t="shared" si="0"/>
        <v>4976771.4000000004</v>
      </c>
      <c r="I39" s="12">
        <f t="shared" si="1"/>
        <v>398141.71200000006</v>
      </c>
      <c r="J39" s="12">
        <f t="shared" si="2"/>
        <v>398141.71200000006</v>
      </c>
      <c r="K39" s="12">
        <f t="shared" si="3"/>
        <v>288652.74120000005</v>
      </c>
      <c r="L39" s="12">
        <f t="shared" si="4"/>
        <v>1084936.1652000002</v>
      </c>
      <c r="M39" s="12">
        <f t="shared" si="5"/>
        <v>7696.5913263281082</v>
      </c>
      <c r="N39" s="12">
        <f t="shared" si="6"/>
        <v>6061707.565200001</v>
      </c>
      <c r="O39" s="14">
        <f>IF(OR($N39="",$N$153=""),"",IFERROR($N39/$N$153,0))</f>
        <v>1.1026868395827659E-2</v>
      </c>
    </row>
    <row r="40" spans="1:15" ht="15.6">
      <c r="A40" s="60">
        <v>9</v>
      </c>
      <c r="B40" s="68" t="s">
        <v>209</v>
      </c>
      <c r="C40" s="62" t="s">
        <v>164</v>
      </c>
      <c r="D40" s="37">
        <v>513.79999999999995</v>
      </c>
      <c r="E40" s="69">
        <v>6000</v>
      </c>
      <c r="F40" s="69">
        <v>1200.7590502140913</v>
      </c>
      <c r="G40" s="69">
        <v>0</v>
      </c>
      <c r="H40" s="12">
        <f t="shared" si="0"/>
        <v>3699749.9999999995</v>
      </c>
      <c r="I40" s="12">
        <f t="shared" si="1"/>
        <v>295979.99999999994</v>
      </c>
      <c r="J40" s="12">
        <f t="shared" si="2"/>
        <v>295979.99999999994</v>
      </c>
      <c r="K40" s="12">
        <f t="shared" si="3"/>
        <v>214585.49999999997</v>
      </c>
      <c r="L40" s="12">
        <f t="shared" si="4"/>
        <v>806545.49999999988</v>
      </c>
      <c r="M40" s="12">
        <f t="shared" si="5"/>
        <v>8770.5245231607623</v>
      </c>
      <c r="N40" s="12">
        <f t="shared" si="6"/>
        <v>4506295.4999999991</v>
      </c>
      <c r="O40" s="14">
        <f>IF(OR($N40="",$N$153=""),"",IFERROR($N40/$N$153,0))</f>
        <v>8.1974141604059542E-3</v>
      </c>
    </row>
    <row r="41" spans="1:15" ht="15.6">
      <c r="A41" s="49">
        <v>10</v>
      </c>
      <c r="B41" s="68" t="s">
        <v>210</v>
      </c>
      <c r="C41" s="62" t="s">
        <v>153</v>
      </c>
      <c r="D41" s="37">
        <v>1</v>
      </c>
      <c r="E41" s="69">
        <v>461179.39999999997</v>
      </c>
      <c r="F41" s="69">
        <v>137100</v>
      </c>
      <c r="G41" s="69">
        <v>0</v>
      </c>
      <c r="H41" s="12">
        <f t="shared" si="0"/>
        <v>598279.39999999991</v>
      </c>
      <c r="I41" s="12">
        <f t="shared" si="1"/>
        <v>47862.351999999992</v>
      </c>
      <c r="J41" s="12">
        <f t="shared" si="2"/>
        <v>47862.351999999992</v>
      </c>
      <c r="K41" s="12">
        <f t="shared" si="3"/>
        <v>34700.205199999989</v>
      </c>
      <c r="L41" s="12">
        <f t="shared" si="4"/>
        <v>130424.90919999997</v>
      </c>
      <c r="M41" s="12">
        <f t="shared" si="5"/>
        <v>728704.3091999999</v>
      </c>
      <c r="N41" s="12">
        <f t="shared" si="6"/>
        <v>728704.3091999999</v>
      </c>
      <c r="O41" s="14">
        <f>IF(OR($N41="",$N$153=""),"",IFERROR($N41/$N$153,0))</f>
        <v>1.325587952007346E-3</v>
      </c>
    </row>
    <row r="42" spans="1:15" ht="15.6">
      <c r="A42" s="60">
        <v>11</v>
      </c>
      <c r="B42" s="68" t="s">
        <v>211</v>
      </c>
      <c r="C42" s="62" t="s">
        <v>153</v>
      </c>
      <c r="D42" s="37">
        <v>1</v>
      </c>
      <c r="E42" s="69">
        <v>450000</v>
      </c>
      <c r="F42" s="69">
        <v>92455</v>
      </c>
      <c r="G42" s="69">
        <v>0</v>
      </c>
      <c r="H42" s="12">
        <f t="shared" si="0"/>
        <v>542455</v>
      </c>
      <c r="I42" s="12">
        <f t="shared" si="1"/>
        <v>43396.4</v>
      </c>
      <c r="J42" s="12">
        <f t="shared" si="2"/>
        <v>43396.4</v>
      </c>
      <c r="K42" s="12">
        <f t="shared" si="3"/>
        <v>31462.390000000003</v>
      </c>
      <c r="L42" s="12">
        <f t="shared" si="4"/>
        <v>118255.19</v>
      </c>
      <c r="M42" s="12">
        <f t="shared" si="5"/>
        <v>660710.18999999994</v>
      </c>
      <c r="N42" s="12">
        <f t="shared" si="6"/>
        <v>660710.18999999994</v>
      </c>
      <c r="O42" s="14">
        <f>IF(OR($N42="",$N$153=""),"",IFERROR($N42/$N$153,0))</f>
        <v>1.2018996684594939E-3</v>
      </c>
    </row>
    <row r="43" spans="1:15" ht="15.9" thickBot="1">
      <c r="A43" s="49">
        <v>12</v>
      </c>
      <c r="B43" s="78" t="s">
        <v>212</v>
      </c>
      <c r="C43" s="62" t="s">
        <v>153</v>
      </c>
      <c r="D43" s="37">
        <v>1</v>
      </c>
      <c r="E43" s="69">
        <v>2361525</v>
      </c>
      <c r="F43" s="69">
        <v>470680</v>
      </c>
      <c r="G43" s="69">
        <v>0</v>
      </c>
      <c r="H43" s="12">
        <f t="shared" si="0"/>
        <v>2832205</v>
      </c>
      <c r="I43" s="12">
        <f t="shared" si="1"/>
        <v>226576.4</v>
      </c>
      <c r="J43" s="12">
        <f t="shared" si="2"/>
        <v>226576.4</v>
      </c>
      <c r="K43" s="12">
        <f t="shared" si="3"/>
        <v>164267.89000000001</v>
      </c>
      <c r="L43" s="12">
        <f t="shared" si="4"/>
        <v>617420.68999999994</v>
      </c>
      <c r="M43" s="12">
        <f t="shared" si="5"/>
        <v>3449625.69</v>
      </c>
      <c r="N43" s="12">
        <f t="shared" si="6"/>
        <v>3449625.69</v>
      </c>
      <c r="O43" s="14">
        <f>IF(OR($N43="",$N$153=""),"",IFERROR($N43/$N$153,0))</f>
        <v>6.2752232913501045E-3</v>
      </c>
    </row>
    <row r="44" spans="1:15" ht="15.9" thickBot="1">
      <c r="A44" s="46" t="s">
        <v>213</v>
      </c>
      <c r="B44" s="59"/>
      <c r="C44" s="47"/>
      <c r="D44" s="48"/>
      <c r="E44" s="48"/>
      <c r="F44" s="48"/>
      <c r="G44" s="48"/>
      <c r="H44" s="12">
        <f t="shared" si="0"/>
        <v>0</v>
      </c>
      <c r="I44" s="12">
        <f t="shared" si="1"/>
        <v>0</v>
      </c>
      <c r="J44" s="12">
        <f t="shared" si="2"/>
        <v>0</v>
      </c>
      <c r="K44" s="12">
        <f t="shared" si="3"/>
        <v>0</v>
      </c>
      <c r="L44" s="12">
        <f t="shared" si="4"/>
        <v>0</v>
      </c>
      <c r="M44" s="12" t="str">
        <f t="shared" si="5"/>
        <v/>
      </c>
      <c r="N44" s="12">
        <f t="shared" si="6"/>
        <v>0</v>
      </c>
      <c r="O44" s="14">
        <f>IF(OR($N44="",$N$153=""),"",IFERROR($N44/$N$153,0))</f>
        <v>0</v>
      </c>
    </row>
    <row r="45" spans="1:15" ht="15.6">
      <c r="A45" s="60">
        <v>1</v>
      </c>
      <c r="B45" s="68" t="s">
        <v>214</v>
      </c>
      <c r="C45" s="62" t="s">
        <v>191</v>
      </c>
      <c r="D45" s="37">
        <v>4017.9850000000006</v>
      </c>
      <c r="E45" s="63">
        <v>900</v>
      </c>
      <c r="F45" s="63">
        <v>0</v>
      </c>
      <c r="G45" s="63">
        <v>0</v>
      </c>
      <c r="H45" s="12">
        <f t="shared" si="0"/>
        <v>3616186.5000000005</v>
      </c>
      <c r="I45" s="12">
        <f t="shared" si="1"/>
        <v>289294.92000000004</v>
      </c>
      <c r="J45" s="12">
        <f t="shared" si="2"/>
        <v>289294.92000000004</v>
      </c>
      <c r="K45" s="12">
        <f t="shared" si="3"/>
        <v>209738.81700000004</v>
      </c>
      <c r="L45" s="12">
        <f t="shared" si="4"/>
        <v>788328.65700000012</v>
      </c>
      <c r="M45" s="12">
        <f t="shared" si="5"/>
        <v>1096.2</v>
      </c>
      <c r="N45" s="12">
        <f t="shared" si="6"/>
        <v>4404515.1570000006</v>
      </c>
      <c r="O45" s="14">
        <f>IF(OR($N45="",$N$153=""),"",IFERROR($N45/$N$153,0))</f>
        <v>8.0122652670501678E-3</v>
      </c>
    </row>
    <row r="46" spans="1:15" ht="15.6">
      <c r="A46" s="49">
        <v>2</v>
      </c>
      <c r="B46" s="68" t="s">
        <v>215</v>
      </c>
      <c r="C46" s="62" t="s">
        <v>191</v>
      </c>
      <c r="D46" s="37">
        <v>1309.5</v>
      </c>
      <c r="E46" s="69">
        <v>1656</v>
      </c>
      <c r="F46" s="69">
        <v>198.97289041618939</v>
      </c>
      <c r="G46" s="69">
        <v>0</v>
      </c>
      <c r="H46" s="12">
        <f t="shared" si="0"/>
        <v>2429087</v>
      </c>
      <c r="I46" s="12">
        <f t="shared" si="1"/>
        <v>194326.96</v>
      </c>
      <c r="J46" s="12">
        <f t="shared" si="2"/>
        <v>194326.96</v>
      </c>
      <c r="K46" s="12">
        <f t="shared" si="3"/>
        <v>140887.046</v>
      </c>
      <c r="L46" s="12">
        <f t="shared" si="4"/>
        <v>529540.96600000001</v>
      </c>
      <c r="M46" s="12">
        <f t="shared" si="5"/>
        <v>2259.3569805269185</v>
      </c>
      <c r="N46" s="12">
        <f t="shared" si="6"/>
        <v>2958627.966</v>
      </c>
      <c r="O46" s="14">
        <f>IF(OR($N46="",$N$153=""),"",IFERROR($N46/$N$153,0))</f>
        <v>5.3820480223415153E-3</v>
      </c>
    </row>
    <row r="47" spans="1:15" ht="15.6">
      <c r="A47" s="49">
        <v>3</v>
      </c>
      <c r="B47" s="68" t="s">
        <v>216</v>
      </c>
      <c r="C47" s="62" t="s">
        <v>191</v>
      </c>
      <c r="D47" s="37">
        <v>188.8</v>
      </c>
      <c r="E47" s="69">
        <v>249.99999999999997</v>
      </c>
      <c r="F47" s="69">
        <v>133.5540254237288</v>
      </c>
      <c r="G47" s="69">
        <v>0</v>
      </c>
      <c r="H47" s="12">
        <f t="shared" si="0"/>
        <v>72415</v>
      </c>
      <c r="I47" s="12">
        <f t="shared" si="1"/>
        <v>5793.2</v>
      </c>
      <c r="J47" s="12">
        <f t="shared" si="2"/>
        <v>5793.2</v>
      </c>
      <c r="K47" s="12">
        <f t="shared" si="3"/>
        <v>4200.07</v>
      </c>
      <c r="L47" s="12">
        <f t="shared" si="4"/>
        <v>15786.47</v>
      </c>
      <c r="M47" s="12">
        <f t="shared" si="5"/>
        <v>467.16880296610168</v>
      </c>
      <c r="N47" s="12">
        <f t="shared" si="6"/>
        <v>88201.47</v>
      </c>
      <c r="O47" s="14">
        <f>IF(OR($N47="",$N$153=""),"",IFERROR($N47/$N$153,0))</f>
        <v>1.6044752927246362E-4</v>
      </c>
    </row>
    <row r="48" spans="1:15" ht="15.9" thickBot="1">
      <c r="A48" s="49">
        <v>4</v>
      </c>
      <c r="B48" s="78" t="s">
        <v>217</v>
      </c>
      <c r="C48" s="62" t="s">
        <v>191</v>
      </c>
      <c r="D48" s="37">
        <v>1689.4582000000007</v>
      </c>
      <c r="E48" s="69">
        <v>250</v>
      </c>
      <c r="F48" s="69">
        <v>248.74838572508028</v>
      </c>
      <c r="G48" s="69">
        <v>0</v>
      </c>
      <c r="H48" s="12">
        <f t="shared" si="0"/>
        <v>842614.55000000028</v>
      </c>
      <c r="I48" s="12">
        <f t="shared" si="1"/>
        <v>67409.164000000019</v>
      </c>
      <c r="J48" s="12">
        <f t="shared" si="2"/>
        <v>67409.164000000019</v>
      </c>
      <c r="K48" s="12">
        <f t="shared" si="3"/>
        <v>48871.643900000017</v>
      </c>
      <c r="L48" s="12">
        <f t="shared" si="4"/>
        <v>183689.97190000006</v>
      </c>
      <c r="M48" s="12">
        <f t="shared" si="5"/>
        <v>607.47553381314776</v>
      </c>
      <c r="N48" s="12">
        <f t="shared" si="6"/>
        <v>1026304.5219000003</v>
      </c>
      <c r="O48" s="14">
        <f>IF(OR($N48="",$N$153=""),"",IFERROR($N48/$N$153,0))</f>
        <v>1.8669532925019512E-3</v>
      </c>
    </row>
    <row r="49" spans="1:15" ht="15.9" thickBot="1">
      <c r="A49" s="79" t="s">
        <v>218</v>
      </c>
      <c r="B49" s="59"/>
      <c r="C49" s="47"/>
      <c r="D49" s="48"/>
      <c r="E49" s="48"/>
      <c r="F49" s="48"/>
      <c r="G49" s="48"/>
      <c r="H49" s="12">
        <f t="shared" si="0"/>
        <v>0</v>
      </c>
      <c r="I49" s="12">
        <f t="shared" si="1"/>
        <v>0</v>
      </c>
      <c r="J49" s="12">
        <f t="shared" si="2"/>
        <v>0</v>
      </c>
      <c r="K49" s="12">
        <f t="shared" si="3"/>
        <v>0</v>
      </c>
      <c r="L49" s="12">
        <f t="shared" si="4"/>
        <v>0</v>
      </c>
      <c r="M49" s="12" t="str">
        <f t="shared" si="5"/>
        <v/>
      </c>
      <c r="N49" s="12">
        <f t="shared" si="6"/>
        <v>0</v>
      </c>
      <c r="O49" s="14">
        <f>IF(OR($N49="",$N$153=""),"",IFERROR($N49/$N$153,0))</f>
        <v>0</v>
      </c>
    </row>
    <row r="50" spans="1:15" ht="15.6">
      <c r="A50" s="60">
        <v>1</v>
      </c>
      <c r="B50" s="68" t="s">
        <v>219</v>
      </c>
      <c r="C50" s="62" t="s">
        <v>153</v>
      </c>
      <c r="D50" s="32">
        <v>1</v>
      </c>
      <c r="E50" s="32">
        <v>2384484.9000000004</v>
      </c>
      <c r="F50" s="32">
        <v>707110</v>
      </c>
      <c r="G50" s="32">
        <v>0</v>
      </c>
      <c r="H50" s="12">
        <f t="shared" si="0"/>
        <v>3091594.9000000004</v>
      </c>
      <c r="I50" s="12">
        <f t="shared" si="1"/>
        <v>247327.59200000003</v>
      </c>
      <c r="J50" s="12">
        <f t="shared" si="2"/>
        <v>247327.59200000003</v>
      </c>
      <c r="K50" s="12">
        <f t="shared" si="3"/>
        <v>179312.50420000005</v>
      </c>
      <c r="L50" s="12">
        <f t="shared" si="4"/>
        <v>673967.68820000009</v>
      </c>
      <c r="M50" s="12">
        <f t="shared" si="5"/>
        <v>3765562.5882000006</v>
      </c>
      <c r="N50" s="12">
        <f t="shared" si="6"/>
        <v>3765562.5882000006</v>
      </c>
      <c r="O50" s="14">
        <f>IF(OR($N50="",$N$153=""),"",IFERROR($N50/$N$153,0))</f>
        <v>6.8499449453338305E-3</v>
      </c>
    </row>
    <row r="51" spans="1:15" ht="15.9" thickBot="1">
      <c r="A51" s="60">
        <v>2</v>
      </c>
      <c r="B51" s="68" t="s">
        <v>220</v>
      </c>
      <c r="C51" s="62" t="s">
        <v>153</v>
      </c>
      <c r="D51" s="32">
        <v>1</v>
      </c>
      <c r="E51" s="32">
        <v>2652262</v>
      </c>
      <c r="F51" s="32">
        <v>786945</v>
      </c>
      <c r="G51" s="32">
        <v>0</v>
      </c>
      <c r="H51" s="12">
        <f t="shared" si="0"/>
        <v>3439207</v>
      </c>
      <c r="I51" s="12">
        <f t="shared" si="1"/>
        <v>275136.56</v>
      </c>
      <c r="J51" s="12">
        <f t="shared" si="2"/>
        <v>275136.56</v>
      </c>
      <c r="K51" s="12">
        <f t="shared" si="3"/>
        <v>199474.00600000002</v>
      </c>
      <c r="L51" s="12">
        <f t="shared" si="4"/>
        <v>749747.12600000005</v>
      </c>
      <c r="M51" s="12">
        <f t="shared" si="5"/>
        <v>4188954.1260000002</v>
      </c>
      <c r="N51" s="12">
        <f t="shared" si="6"/>
        <v>4188954.1260000002</v>
      </c>
      <c r="O51" s="14">
        <f>IF(OR($N51="",$N$153=""),"",IFERROR($N51/$N$153,0))</f>
        <v>7.6201376207493173E-3</v>
      </c>
    </row>
    <row r="52" spans="1:15" ht="15.9" thickBot="1">
      <c r="A52" s="46" t="s">
        <v>221</v>
      </c>
      <c r="B52" s="59"/>
      <c r="C52" s="47"/>
      <c r="D52" s="48"/>
      <c r="E52" s="48"/>
      <c r="F52" s="48"/>
      <c r="G52" s="48"/>
      <c r="H52" s="12">
        <f t="shared" si="0"/>
        <v>0</v>
      </c>
      <c r="I52" s="12">
        <f t="shared" si="1"/>
        <v>0</v>
      </c>
      <c r="J52" s="12">
        <f t="shared" si="2"/>
        <v>0</v>
      </c>
      <c r="K52" s="12">
        <f t="shared" si="3"/>
        <v>0</v>
      </c>
      <c r="L52" s="12">
        <f t="shared" si="4"/>
        <v>0</v>
      </c>
      <c r="M52" s="12" t="str">
        <f t="shared" si="5"/>
        <v/>
      </c>
      <c r="N52" s="12">
        <f t="shared" si="6"/>
        <v>0</v>
      </c>
      <c r="O52" s="14">
        <f>IF(OR($N52="",$N$153=""),"",IFERROR($N52/$N$153,0))</f>
        <v>0</v>
      </c>
    </row>
    <row r="53" spans="1:15" ht="15.6">
      <c r="A53" s="80">
        <v>1</v>
      </c>
      <c r="B53" s="81" t="s">
        <v>222</v>
      </c>
      <c r="C53" s="82" t="s">
        <v>153</v>
      </c>
      <c r="D53" s="83">
        <v>1</v>
      </c>
      <c r="E53" s="84">
        <v>24582903.850000001</v>
      </c>
      <c r="F53" s="83">
        <v>7376625</v>
      </c>
      <c r="G53" s="83">
        <v>0</v>
      </c>
      <c r="H53" s="12">
        <f t="shared" si="0"/>
        <v>31959528.850000001</v>
      </c>
      <c r="I53" s="12">
        <f t="shared" si="1"/>
        <v>2556762.3080000002</v>
      </c>
      <c r="J53" s="12">
        <f t="shared" si="2"/>
        <v>2556762.3080000002</v>
      </c>
      <c r="K53" s="12">
        <f t="shared" si="3"/>
        <v>1853652.6732999999</v>
      </c>
      <c r="L53" s="12">
        <f t="shared" si="4"/>
        <v>6967177.2893000003</v>
      </c>
      <c r="M53" s="12">
        <f t="shared" si="5"/>
        <v>38926706.139300004</v>
      </c>
      <c r="N53" s="12">
        <f t="shared" si="6"/>
        <v>38926706.139300004</v>
      </c>
      <c r="O53" s="14">
        <f>IF(OR($N53="",$N$153=""),"",IFERROR($N53/$N$153,0))</f>
        <v>7.0811674938818223E-2</v>
      </c>
    </row>
    <row r="54" spans="1:15" ht="15.9" thickBot="1">
      <c r="A54" s="85">
        <v>2</v>
      </c>
      <c r="B54" s="78" t="s">
        <v>223</v>
      </c>
      <c r="C54" s="86" t="s">
        <v>153</v>
      </c>
      <c r="D54" s="87">
        <v>1</v>
      </c>
      <c r="E54" s="88">
        <v>3406407</v>
      </c>
      <c r="F54" s="73">
        <v>1014540</v>
      </c>
      <c r="G54" s="73">
        <v>0</v>
      </c>
      <c r="H54" s="12">
        <f t="shared" si="0"/>
        <v>4420947</v>
      </c>
      <c r="I54" s="12">
        <f t="shared" si="1"/>
        <v>353675.76</v>
      </c>
      <c r="J54" s="12">
        <f t="shared" si="2"/>
        <v>353675.76</v>
      </c>
      <c r="K54" s="12">
        <f t="shared" si="3"/>
        <v>256414.92599999998</v>
      </c>
      <c r="L54" s="12">
        <f t="shared" si="4"/>
        <v>963766.446</v>
      </c>
      <c r="M54" s="12">
        <f t="shared" si="5"/>
        <v>5384713.4460000005</v>
      </c>
      <c r="N54" s="12">
        <f t="shared" si="6"/>
        <v>5384713.4460000005</v>
      </c>
      <c r="O54" s="14">
        <f>IF(OR($N54="",$N$153=""),"",IFERROR($N54/$N$153,0))</f>
        <v>9.795346588338194E-3</v>
      </c>
    </row>
    <row r="55" spans="1:15" ht="15.9" thickBot="1">
      <c r="A55" s="46" t="s">
        <v>224</v>
      </c>
      <c r="B55" s="59"/>
      <c r="C55" s="47"/>
      <c r="D55" s="48"/>
      <c r="E55" s="48"/>
      <c r="F55" s="48"/>
      <c r="G55" s="48"/>
      <c r="H55" s="12">
        <f t="shared" si="0"/>
        <v>0</v>
      </c>
      <c r="I55" s="12">
        <f t="shared" si="1"/>
        <v>0</v>
      </c>
      <c r="J55" s="12">
        <f t="shared" si="2"/>
        <v>0</v>
      </c>
      <c r="K55" s="12">
        <f t="shared" si="3"/>
        <v>0</v>
      </c>
      <c r="L55" s="12">
        <f t="shared" si="4"/>
        <v>0</v>
      </c>
      <c r="M55" s="12" t="str">
        <f t="shared" si="5"/>
        <v/>
      </c>
      <c r="N55" s="12">
        <f t="shared" si="6"/>
        <v>0</v>
      </c>
      <c r="O55" s="14">
        <f>IF(OR($N55="",$N$153=""),"",IFERROR($N55/$N$153,0))</f>
        <v>0</v>
      </c>
    </row>
    <row r="56" spans="1:15" ht="15.6">
      <c r="A56" s="49">
        <v>1</v>
      </c>
      <c r="B56" s="76" t="s">
        <v>225</v>
      </c>
      <c r="C56" s="31" t="s">
        <v>153</v>
      </c>
      <c r="D56" s="32">
        <v>1</v>
      </c>
      <c r="E56" s="77">
        <v>13940004.4</v>
      </c>
      <c r="F56" s="77">
        <v>808890</v>
      </c>
      <c r="G56" s="77">
        <v>0</v>
      </c>
      <c r="H56" s="12">
        <f t="shared" si="0"/>
        <v>14748894.4</v>
      </c>
      <c r="I56" s="12">
        <f t="shared" si="1"/>
        <v>1179911.5520000001</v>
      </c>
      <c r="J56" s="12">
        <f t="shared" si="2"/>
        <v>1179911.5520000001</v>
      </c>
      <c r="K56" s="12">
        <f t="shared" si="3"/>
        <v>855435.87520000013</v>
      </c>
      <c r="L56" s="12">
        <f t="shared" si="4"/>
        <v>3215258.9792000004</v>
      </c>
      <c r="M56" s="12">
        <f t="shared" si="5"/>
        <v>17964153.3792</v>
      </c>
      <c r="N56" s="12">
        <f t="shared" si="6"/>
        <v>17964153.3792</v>
      </c>
      <c r="O56" s="14">
        <f>IF(OR($N56="",$N$153=""),"",IFERROR($N56/$N$153,0))</f>
        <v>3.2678639314789405E-2</v>
      </c>
    </row>
    <row r="57" spans="1:15" ht="15.6">
      <c r="A57" s="60">
        <v>2</v>
      </c>
      <c r="B57" s="68" t="s">
        <v>226</v>
      </c>
      <c r="C57" s="36" t="s">
        <v>153</v>
      </c>
      <c r="D57" s="32">
        <v>1</v>
      </c>
      <c r="E57" s="77">
        <v>1125640</v>
      </c>
      <c r="F57" s="77">
        <v>438720</v>
      </c>
      <c r="G57" s="77">
        <v>0</v>
      </c>
      <c r="H57" s="12">
        <f t="shared" si="0"/>
        <v>1564360</v>
      </c>
      <c r="I57" s="12">
        <f t="shared" si="1"/>
        <v>125148.8</v>
      </c>
      <c r="J57" s="12">
        <f t="shared" si="2"/>
        <v>125148.8</v>
      </c>
      <c r="K57" s="12">
        <f t="shared" si="3"/>
        <v>90732.88</v>
      </c>
      <c r="L57" s="12">
        <f t="shared" si="4"/>
        <v>341030.48</v>
      </c>
      <c r="M57" s="12">
        <f t="shared" si="5"/>
        <v>1905390.48</v>
      </c>
      <c r="N57" s="12">
        <f t="shared" si="6"/>
        <v>1905390.48</v>
      </c>
      <c r="O57" s="14">
        <f>IF(OR($N57="",$N$153=""),"",IFERROR($N57/$N$153,0))</f>
        <v>3.4661009030265994E-3</v>
      </c>
    </row>
    <row r="58" spans="1:15" ht="15.6">
      <c r="A58" s="60">
        <v>3</v>
      </c>
      <c r="B58" s="68" t="s">
        <v>227</v>
      </c>
      <c r="C58" s="36" t="s">
        <v>153</v>
      </c>
      <c r="D58" s="32">
        <v>1</v>
      </c>
      <c r="E58" s="77">
        <v>3668306.5079999994</v>
      </c>
      <c r="F58" s="77">
        <v>3318350</v>
      </c>
      <c r="G58" s="77">
        <v>0</v>
      </c>
      <c r="H58" s="12">
        <f t="shared" si="0"/>
        <v>6986656.5079999994</v>
      </c>
      <c r="I58" s="12">
        <f t="shared" si="1"/>
        <v>558932.52064</v>
      </c>
      <c r="J58" s="12">
        <f t="shared" si="2"/>
        <v>558932.52064</v>
      </c>
      <c r="K58" s="12">
        <f t="shared" si="3"/>
        <v>405226.07746399997</v>
      </c>
      <c r="L58" s="12">
        <f t="shared" si="4"/>
        <v>1523091.1187439999</v>
      </c>
      <c r="M58" s="12">
        <f t="shared" si="5"/>
        <v>8509747.6267439984</v>
      </c>
      <c r="N58" s="12">
        <f t="shared" si="6"/>
        <v>8509747.6267439984</v>
      </c>
      <c r="O58" s="14">
        <f>IF(OR($N58="",$N$153=""),"",IFERROR($N58/$N$153,0))</f>
        <v>1.5480104599654468E-2</v>
      </c>
    </row>
    <row r="59" spans="1:15" ht="15.9" thickBot="1">
      <c r="A59" s="60">
        <v>4</v>
      </c>
      <c r="B59" s="68" t="s">
        <v>228</v>
      </c>
      <c r="C59" s="36" t="s">
        <v>153</v>
      </c>
      <c r="D59" s="32">
        <v>1</v>
      </c>
      <c r="E59" s="77">
        <v>2359528</v>
      </c>
      <c r="F59" s="77">
        <v>947430</v>
      </c>
      <c r="G59" s="77">
        <v>0</v>
      </c>
      <c r="H59" s="12">
        <f t="shared" si="0"/>
        <v>3306958</v>
      </c>
      <c r="I59" s="12">
        <f t="shared" si="1"/>
        <v>264556.64</v>
      </c>
      <c r="J59" s="12">
        <f t="shared" si="2"/>
        <v>264556.64</v>
      </c>
      <c r="K59" s="12">
        <f t="shared" si="3"/>
        <v>191803.56400000001</v>
      </c>
      <c r="L59" s="12">
        <f t="shared" si="4"/>
        <v>720916.84400000004</v>
      </c>
      <c r="M59" s="12">
        <f t="shared" si="5"/>
        <v>4027874.844</v>
      </c>
      <c r="N59" s="12">
        <f t="shared" si="6"/>
        <v>4027874.844</v>
      </c>
      <c r="O59" s="14">
        <f>IF(OR($N59="",$N$153=""),"",IFERROR($N59/$N$153,0))</f>
        <v>7.3271178693338091E-3</v>
      </c>
    </row>
    <row r="60" spans="1:15" ht="15.9" thickBot="1">
      <c r="A60" s="46" t="s">
        <v>229</v>
      </c>
      <c r="B60" s="59"/>
      <c r="C60" s="47"/>
      <c r="D60" s="48"/>
      <c r="E60" s="48"/>
      <c r="F60" s="48"/>
      <c r="G60" s="48"/>
      <c r="H60" s="12">
        <f t="shared" si="0"/>
        <v>0</v>
      </c>
      <c r="I60" s="12">
        <f t="shared" si="1"/>
        <v>0</v>
      </c>
      <c r="J60" s="12">
        <f t="shared" si="2"/>
        <v>0</v>
      </c>
      <c r="K60" s="12">
        <f t="shared" si="3"/>
        <v>0</v>
      </c>
      <c r="L60" s="12">
        <f t="shared" si="4"/>
        <v>0</v>
      </c>
      <c r="M60" s="12" t="str">
        <f t="shared" si="5"/>
        <v/>
      </c>
      <c r="N60" s="12">
        <f t="shared" si="6"/>
        <v>0</v>
      </c>
      <c r="O60" s="14">
        <f>IF(OR($N60="",$N$153=""),"",IFERROR($N60/$N$153,0))</f>
        <v>0</v>
      </c>
    </row>
    <row r="61" spans="1:15" ht="15.6">
      <c r="A61" s="60">
        <v>1</v>
      </c>
      <c r="B61" s="68" t="s">
        <v>230</v>
      </c>
      <c r="C61" s="62" t="s">
        <v>153</v>
      </c>
      <c r="D61" s="37">
        <v>1</v>
      </c>
      <c r="E61" s="89">
        <v>1242600</v>
      </c>
      <c r="F61" s="89">
        <v>726630</v>
      </c>
      <c r="G61" s="89">
        <v>0</v>
      </c>
      <c r="H61" s="12">
        <f t="shared" si="0"/>
        <v>1969230</v>
      </c>
      <c r="I61" s="12">
        <f t="shared" si="1"/>
        <v>157538.4</v>
      </c>
      <c r="J61" s="12">
        <f t="shared" si="2"/>
        <v>157538.4</v>
      </c>
      <c r="K61" s="12">
        <f t="shared" si="3"/>
        <v>114215.34</v>
      </c>
      <c r="L61" s="12">
        <f t="shared" si="4"/>
        <v>429292.14</v>
      </c>
      <c r="M61" s="12">
        <f t="shared" si="5"/>
        <v>2398522.14</v>
      </c>
      <c r="N61" s="12">
        <f t="shared" si="6"/>
        <v>2398522.14</v>
      </c>
      <c r="O61" s="14">
        <f>IF(OR($N61="",$N$153=""),"",IFERROR($N61/$N$153,0))</f>
        <v>4.3631580207030805E-3</v>
      </c>
    </row>
    <row r="62" spans="1:15" ht="15.6">
      <c r="A62" s="60">
        <v>2</v>
      </c>
      <c r="B62" s="68" t="s">
        <v>231</v>
      </c>
      <c r="C62" s="62" t="s">
        <v>153</v>
      </c>
      <c r="D62" s="37">
        <v>1</v>
      </c>
      <c r="E62" s="77">
        <v>392400</v>
      </c>
      <c r="F62" s="77">
        <v>210125</v>
      </c>
      <c r="G62" s="77">
        <v>0</v>
      </c>
      <c r="H62" s="12">
        <f t="shared" si="0"/>
        <v>602525</v>
      </c>
      <c r="I62" s="12">
        <f t="shared" si="1"/>
        <v>48202</v>
      </c>
      <c r="J62" s="12">
        <f t="shared" si="2"/>
        <v>48202</v>
      </c>
      <c r="K62" s="12">
        <f t="shared" si="3"/>
        <v>34946.450000000004</v>
      </c>
      <c r="L62" s="12">
        <f t="shared" si="4"/>
        <v>131350.45000000001</v>
      </c>
      <c r="M62" s="12">
        <f t="shared" si="5"/>
        <v>733875.45</v>
      </c>
      <c r="N62" s="12">
        <f t="shared" si="6"/>
        <v>733875.45</v>
      </c>
      <c r="O62" s="14">
        <f>IF(OR($N62="",$N$153=""),"",IFERROR($N62/$N$153,0))</f>
        <v>1.3349947880258392E-3</v>
      </c>
    </row>
    <row r="63" spans="1:15" ht="15.6">
      <c r="A63" s="60">
        <v>3</v>
      </c>
      <c r="B63" s="68" t="s">
        <v>232</v>
      </c>
      <c r="C63" s="62" t="s">
        <v>153</v>
      </c>
      <c r="D63" s="37">
        <v>1</v>
      </c>
      <c r="E63" s="69">
        <v>2485200</v>
      </c>
      <c r="F63" s="69">
        <v>1069380</v>
      </c>
      <c r="G63" s="69"/>
      <c r="H63" s="12">
        <f t="shared" si="0"/>
        <v>3554580</v>
      </c>
      <c r="I63" s="12">
        <f t="shared" si="1"/>
        <v>284366.40000000002</v>
      </c>
      <c r="J63" s="12">
        <f t="shared" si="2"/>
        <v>284366.40000000002</v>
      </c>
      <c r="K63" s="12">
        <f t="shared" si="3"/>
        <v>206165.64</v>
      </c>
      <c r="L63" s="12">
        <f t="shared" si="4"/>
        <v>774898.44000000006</v>
      </c>
      <c r="M63" s="12">
        <f t="shared" si="5"/>
        <v>4329478.4400000004</v>
      </c>
      <c r="N63" s="12">
        <f t="shared" si="6"/>
        <v>4329478.4400000004</v>
      </c>
      <c r="O63" s="14">
        <f>IF(OR($N63="",$N$153=""),"",IFERROR($N63/$N$153,0))</f>
        <v>7.8757657750647483E-3</v>
      </c>
    </row>
    <row r="64" spans="1:15" ht="15.6">
      <c r="A64" s="60">
        <v>4</v>
      </c>
      <c r="B64" s="68" t="s">
        <v>233</v>
      </c>
      <c r="C64" s="62" t="s">
        <v>153</v>
      </c>
      <c r="D64" s="37">
        <v>1</v>
      </c>
      <c r="E64" s="69">
        <v>2891515.4399999995</v>
      </c>
      <c r="F64" s="69">
        <v>658080</v>
      </c>
      <c r="G64" s="69"/>
      <c r="H64" s="12">
        <f t="shared" si="0"/>
        <v>3549595.4399999995</v>
      </c>
      <c r="I64" s="12">
        <f t="shared" si="1"/>
        <v>283967.63519999996</v>
      </c>
      <c r="J64" s="12">
        <f t="shared" si="2"/>
        <v>283967.63519999996</v>
      </c>
      <c r="K64" s="12">
        <f t="shared" si="3"/>
        <v>205876.53551999998</v>
      </c>
      <c r="L64" s="12">
        <f t="shared" si="4"/>
        <v>773811.80591999996</v>
      </c>
      <c r="M64" s="12">
        <f t="shared" si="5"/>
        <v>4323407.2459199997</v>
      </c>
      <c r="N64" s="12">
        <f t="shared" si="6"/>
        <v>4323407.2459199997</v>
      </c>
      <c r="O64" s="14">
        <f>IF(OR($N64="",$N$153=""),"",IFERROR($N64/$N$153,0))</f>
        <v>7.8647216497245518E-3</v>
      </c>
    </row>
    <row r="65" spans="1:15" ht="15.6">
      <c r="A65" s="60">
        <v>5</v>
      </c>
      <c r="B65" s="68" t="s">
        <v>234</v>
      </c>
      <c r="C65" s="62" t="s">
        <v>153</v>
      </c>
      <c r="D65" s="37">
        <v>1</v>
      </c>
      <c r="E65" s="69">
        <v>1248608.94</v>
      </c>
      <c r="F65" s="69">
        <v>395035</v>
      </c>
      <c r="G65" s="69"/>
      <c r="H65" s="12">
        <f t="shared" si="0"/>
        <v>1643643.94</v>
      </c>
      <c r="I65" s="12">
        <f t="shared" si="1"/>
        <v>131491.51519999999</v>
      </c>
      <c r="J65" s="12">
        <f t="shared" si="2"/>
        <v>131491.51519999999</v>
      </c>
      <c r="K65" s="12">
        <f t="shared" si="3"/>
        <v>95331.34852</v>
      </c>
      <c r="L65" s="12">
        <f t="shared" si="4"/>
        <v>358314.37891999999</v>
      </c>
      <c r="M65" s="12">
        <f t="shared" si="5"/>
        <v>2001958.31892</v>
      </c>
      <c r="N65" s="12">
        <f t="shared" si="6"/>
        <v>2001958.31892</v>
      </c>
      <c r="O65" s="14">
        <f>IF(OR($N65="",$N$153=""),"",IFERROR($N65/$N$153,0))</f>
        <v>3.64176771631095E-3</v>
      </c>
    </row>
    <row r="66" spans="1:15" ht="15.9" thickBot="1">
      <c r="A66" s="60">
        <v>6</v>
      </c>
      <c r="B66" s="71" t="s">
        <v>235</v>
      </c>
      <c r="C66" s="72" t="s">
        <v>153</v>
      </c>
      <c r="D66" s="73">
        <v>1</v>
      </c>
      <c r="E66" s="73">
        <v>2037204.0599999996</v>
      </c>
      <c r="F66" s="73">
        <v>973410</v>
      </c>
      <c r="G66" s="73"/>
      <c r="H66" s="12">
        <f t="shared" si="0"/>
        <v>3010614.0599999996</v>
      </c>
      <c r="I66" s="12">
        <f t="shared" si="1"/>
        <v>240849.12479999996</v>
      </c>
      <c r="J66" s="12">
        <f t="shared" si="2"/>
        <v>240849.12479999996</v>
      </c>
      <c r="K66" s="12">
        <f t="shared" si="3"/>
        <v>174615.61547999998</v>
      </c>
      <c r="L66" s="12">
        <f t="shared" si="4"/>
        <v>656313.8650799999</v>
      </c>
      <c r="M66" s="12">
        <f t="shared" si="5"/>
        <v>3666927.9250799995</v>
      </c>
      <c r="N66" s="12">
        <f t="shared" si="6"/>
        <v>3666927.9250799995</v>
      </c>
      <c r="O66" s="14">
        <f>IF(OR($N66="",$N$153=""),"",IFERROR($N66/$N$153,0))</f>
        <v>6.670518366635925E-3</v>
      </c>
    </row>
    <row r="67" spans="1:15" ht="15.9" thickBot="1">
      <c r="A67" s="46" t="s">
        <v>236</v>
      </c>
      <c r="B67" s="59"/>
      <c r="C67" s="47"/>
      <c r="D67" s="48"/>
      <c r="E67" s="48"/>
      <c r="F67" s="48"/>
      <c r="G67" s="48"/>
      <c r="H67" s="12">
        <f t="shared" si="0"/>
        <v>0</v>
      </c>
      <c r="I67" s="12">
        <f t="shared" si="1"/>
        <v>0</v>
      </c>
      <c r="J67" s="12">
        <f t="shared" si="2"/>
        <v>0</v>
      </c>
      <c r="K67" s="12">
        <f t="shared" si="3"/>
        <v>0</v>
      </c>
      <c r="L67" s="12">
        <f t="shared" si="4"/>
        <v>0</v>
      </c>
      <c r="M67" s="12" t="str">
        <f t="shared" si="5"/>
        <v/>
      </c>
      <c r="N67" s="12">
        <f t="shared" si="6"/>
        <v>0</v>
      </c>
      <c r="O67" s="14">
        <f>IF(OR($N67="",$N$153=""),"",IFERROR($N67/$N$153,0))</f>
        <v>0</v>
      </c>
    </row>
    <row r="68" spans="1:15" ht="15.6">
      <c r="A68" s="60">
        <v>1</v>
      </c>
      <c r="B68" s="68" t="s">
        <v>237</v>
      </c>
      <c r="C68" s="62" t="s">
        <v>238</v>
      </c>
      <c r="D68" s="37">
        <v>3.1850000000000001</v>
      </c>
      <c r="E68" s="89">
        <v>0</v>
      </c>
      <c r="F68" s="89">
        <v>13116.483516483517</v>
      </c>
      <c r="G68" s="89">
        <v>175824.17582417582</v>
      </c>
      <c r="H68" s="12">
        <f t="shared" si="0"/>
        <v>601776</v>
      </c>
      <c r="I68" s="12">
        <f t="shared" si="1"/>
        <v>48142.080000000002</v>
      </c>
      <c r="J68" s="12">
        <f t="shared" si="2"/>
        <v>48142.080000000002</v>
      </c>
      <c r="K68" s="12">
        <f t="shared" si="3"/>
        <v>34903.007999999994</v>
      </c>
      <c r="L68" s="12">
        <f t="shared" si="4"/>
        <v>131187.16800000001</v>
      </c>
      <c r="M68" s="12">
        <f t="shared" si="5"/>
        <v>230129.72307692308</v>
      </c>
      <c r="N68" s="12">
        <f t="shared" si="6"/>
        <v>732963.16800000006</v>
      </c>
      <c r="O68" s="14">
        <f>IF(OR($N68="",$N$153=""),"",IFERROR($N68/$N$153,0))</f>
        <v>1.3333352534069748E-3</v>
      </c>
    </row>
    <row r="69" spans="1:15" ht="15.6">
      <c r="A69" s="60">
        <v>2</v>
      </c>
      <c r="B69" s="68" t="s">
        <v>180</v>
      </c>
      <c r="C69" s="62" t="s">
        <v>165</v>
      </c>
      <c r="D69" s="37">
        <v>726.51600000000008</v>
      </c>
      <c r="E69" s="77">
        <v>0</v>
      </c>
      <c r="F69" s="77">
        <v>25.37039789901392</v>
      </c>
      <c r="G69" s="77">
        <v>144.52537865649205</v>
      </c>
      <c r="H69" s="12">
        <f t="shared" ref="H69:H132" si="7">IF(COUNTA($A69:$G69)=0,"",$D69*SUM($E69:$G69))</f>
        <v>123431.99999999999</v>
      </c>
      <c r="I69" s="12">
        <f t="shared" ref="I69:I132" si="8">IF($H69="","",$H69*$I$4)</f>
        <v>9874.56</v>
      </c>
      <c r="J69" s="12">
        <f t="shared" ref="J69:J132" si="9">IF($H69="","",$H69*$J$4)</f>
        <v>9874.56</v>
      </c>
      <c r="K69" s="12">
        <f t="shared" ref="K69:K132" si="10">IF($H69="","",($H69+$I69+$J69)*$K$4)</f>
        <v>7159.0560000000005</v>
      </c>
      <c r="L69" s="12">
        <f t="shared" ref="L69:L132" si="11">IF($H69="","",SUM($I69:$K69))</f>
        <v>26908.175999999999</v>
      </c>
      <c r="M69" s="12">
        <f t="shared" ref="M69:M132" si="12">IFERROR($N69/$D69,"")</f>
        <v>206.93305584460626</v>
      </c>
      <c r="N69" s="12">
        <f t="shared" ref="N69:N132" si="13">IF($H69="","",$H69+$L69)</f>
        <v>150340.17599999998</v>
      </c>
      <c r="O69" s="14">
        <f>IF(OR($N69="",$N$153=""),"",IFERROR($N69/$N$153,0))</f>
        <v>2.7348421505432201E-4</v>
      </c>
    </row>
    <row r="70" spans="1:15" ht="15.6">
      <c r="A70" s="60">
        <v>3</v>
      </c>
      <c r="B70" s="52" t="s">
        <v>239</v>
      </c>
      <c r="C70" s="62" t="s">
        <v>165</v>
      </c>
      <c r="D70" s="37">
        <v>671.14</v>
      </c>
      <c r="E70" s="77">
        <v>660</v>
      </c>
      <c r="F70" s="77">
        <v>15.561581786214502</v>
      </c>
      <c r="G70" s="77">
        <v>107.28015019221027</v>
      </c>
      <c r="H70" s="12">
        <f t="shared" si="7"/>
        <v>525396.39999999991</v>
      </c>
      <c r="I70" s="12">
        <f t="shared" si="8"/>
        <v>42031.711999999992</v>
      </c>
      <c r="J70" s="12">
        <f t="shared" si="9"/>
        <v>42031.711999999992</v>
      </c>
      <c r="K70" s="12">
        <f t="shared" si="10"/>
        <v>30472.991199999989</v>
      </c>
      <c r="L70" s="12">
        <f t="shared" si="11"/>
        <v>114536.41519999997</v>
      </c>
      <c r="M70" s="12">
        <f t="shared" si="12"/>
        <v>953.50122954972119</v>
      </c>
      <c r="N70" s="12">
        <f t="shared" si="13"/>
        <v>639932.81519999984</v>
      </c>
      <c r="O70" s="14">
        <f>IF(OR($N70="",$N$153=""),"",IFERROR($N70/$N$153,0))</f>
        <v>1.1641034905564729E-3</v>
      </c>
    </row>
    <row r="71" spans="1:15" ht="15.6">
      <c r="A71" s="60">
        <v>4</v>
      </c>
      <c r="B71" s="52" t="s">
        <v>240</v>
      </c>
      <c r="C71" s="90" t="s">
        <v>164</v>
      </c>
      <c r="D71" s="37">
        <v>3813.14</v>
      </c>
      <c r="E71" s="77">
        <v>0</v>
      </c>
      <c r="F71" s="77">
        <v>2.0542125387475938</v>
      </c>
      <c r="G71" s="77">
        <v>14.161557141883067</v>
      </c>
      <c r="H71" s="12">
        <f t="shared" si="7"/>
        <v>61833</v>
      </c>
      <c r="I71" s="12">
        <f t="shared" si="8"/>
        <v>4946.6400000000003</v>
      </c>
      <c r="J71" s="12">
        <f t="shared" si="9"/>
        <v>4946.6400000000003</v>
      </c>
      <c r="K71" s="12">
        <f t="shared" si="10"/>
        <v>3586.3140000000003</v>
      </c>
      <c r="L71" s="12">
        <f t="shared" si="11"/>
        <v>13479.594000000001</v>
      </c>
      <c r="M71" s="12">
        <f t="shared" si="12"/>
        <v>19.750807471008144</v>
      </c>
      <c r="N71" s="12">
        <f t="shared" si="13"/>
        <v>75312.593999999997</v>
      </c>
      <c r="O71" s="14">
        <f>IF(OR($N71="",$N$153=""),"",IFERROR($N71/$N$153,0))</f>
        <v>1.3700134057176335E-4</v>
      </c>
    </row>
    <row r="72" spans="1:15" ht="15.6">
      <c r="A72" s="60">
        <v>5</v>
      </c>
      <c r="B72" s="52" t="s">
        <v>241</v>
      </c>
      <c r="C72" s="62" t="s">
        <v>165</v>
      </c>
      <c r="D72" s="37">
        <v>762.62800000000004</v>
      </c>
      <c r="E72" s="77">
        <v>1036.1539308811111</v>
      </c>
      <c r="F72" s="77">
        <v>20.542125387475938</v>
      </c>
      <c r="G72" s="77">
        <v>141.61557141883065</v>
      </c>
      <c r="H72" s="12">
        <f t="shared" si="7"/>
        <v>913865.99999999988</v>
      </c>
      <c r="I72" s="12">
        <f t="shared" si="8"/>
        <v>73109.279999999999</v>
      </c>
      <c r="J72" s="12">
        <f t="shared" si="9"/>
        <v>73109.279999999999</v>
      </c>
      <c r="K72" s="12">
        <f t="shared" si="10"/>
        <v>53004.227999999996</v>
      </c>
      <c r="L72" s="12">
        <f t="shared" si="11"/>
        <v>199222.788</v>
      </c>
      <c r="M72" s="12">
        <f t="shared" si="12"/>
        <v>1459.5435625232747</v>
      </c>
      <c r="N72" s="12">
        <f t="shared" si="13"/>
        <v>1113088.7879999999</v>
      </c>
      <c r="O72" s="14">
        <f>IF(OR($N72="",$N$153=""),"",IFERROR($N72/$N$153,0))</f>
        <v>2.0248227823808497E-3</v>
      </c>
    </row>
    <row r="73" spans="1:15" ht="15.6">
      <c r="A73" s="60">
        <v>6</v>
      </c>
      <c r="B73" s="52" t="s">
        <v>242</v>
      </c>
      <c r="C73" s="62" t="s">
        <v>164</v>
      </c>
      <c r="D73" s="37">
        <v>6163.1399999999994</v>
      </c>
      <c r="E73" s="77">
        <v>1166.5942205564047</v>
      </c>
      <c r="F73" s="77">
        <v>304.29943178314954</v>
      </c>
      <c r="G73" s="77">
        <v>15.089710764318189</v>
      </c>
      <c r="H73" s="12">
        <f t="shared" si="7"/>
        <v>9158323.5044799987</v>
      </c>
      <c r="I73" s="12">
        <f t="shared" si="8"/>
        <v>732665.88035839994</v>
      </c>
      <c r="J73" s="12">
        <f t="shared" si="9"/>
        <v>732665.88035839994</v>
      </c>
      <c r="K73" s="12">
        <f t="shared" si="10"/>
        <v>531182.76325983997</v>
      </c>
      <c r="L73" s="12">
        <f t="shared" si="11"/>
        <v>1996514.5239766398</v>
      </c>
      <c r="M73" s="12">
        <f t="shared" si="12"/>
        <v>1809.9277362605167</v>
      </c>
      <c r="N73" s="12">
        <f t="shared" si="13"/>
        <v>11154838.028456639</v>
      </c>
      <c r="O73" s="14">
        <f>IF(OR($N73="",$N$153=""),"",IFERROR($N73/$N$153,0))</f>
        <v>2.0291795602730738E-2</v>
      </c>
    </row>
    <row r="74" spans="1:15" ht="15.6">
      <c r="A74" s="60">
        <v>7</v>
      </c>
      <c r="B74" s="52" t="s">
        <v>243</v>
      </c>
      <c r="C74" s="62" t="s">
        <v>164</v>
      </c>
      <c r="D74" s="37">
        <v>650</v>
      </c>
      <c r="E74" s="77">
        <v>857.46153846153845</v>
      </c>
      <c r="F74" s="77">
        <v>118.80615384615385</v>
      </c>
      <c r="G74" s="77">
        <v>13.846153846153847</v>
      </c>
      <c r="H74" s="12">
        <f t="shared" si="7"/>
        <v>643574</v>
      </c>
      <c r="I74" s="12">
        <f t="shared" si="8"/>
        <v>51485.919999999998</v>
      </c>
      <c r="J74" s="12">
        <f t="shared" si="9"/>
        <v>51485.919999999998</v>
      </c>
      <c r="K74" s="12">
        <f t="shared" si="10"/>
        <v>37327.292000000009</v>
      </c>
      <c r="L74" s="12">
        <f t="shared" si="11"/>
        <v>140299.13200000001</v>
      </c>
      <c r="M74" s="12">
        <f t="shared" si="12"/>
        <v>1205.9586646153846</v>
      </c>
      <c r="N74" s="12">
        <f t="shared" si="13"/>
        <v>783873.13199999998</v>
      </c>
      <c r="O74" s="14">
        <f>IF(OR($N74="",$N$153=""),"",IFERROR($N74/$N$153,0))</f>
        <v>1.4259457046743977E-3</v>
      </c>
    </row>
    <row r="75" spans="1:15" ht="15.6">
      <c r="A75" s="60">
        <v>8</v>
      </c>
      <c r="B75" s="52" t="s">
        <v>244</v>
      </c>
      <c r="C75" s="62" t="s">
        <v>164</v>
      </c>
      <c r="D75" s="37">
        <v>1302</v>
      </c>
      <c r="E75" s="77">
        <v>826.93241167434712</v>
      </c>
      <c r="F75" s="77">
        <v>152.29493087557603</v>
      </c>
      <c r="G75" s="77">
        <v>2.3041474654377878</v>
      </c>
      <c r="H75" s="12">
        <f t="shared" si="7"/>
        <v>1277954</v>
      </c>
      <c r="I75" s="12">
        <f t="shared" si="8"/>
        <v>102236.32</v>
      </c>
      <c r="J75" s="12">
        <f t="shared" si="9"/>
        <v>102236.32</v>
      </c>
      <c r="K75" s="12">
        <f t="shared" si="10"/>
        <v>74121.332000000009</v>
      </c>
      <c r="L75" s="12">
        <f t="shared" si="11"/>
        <v>278593.97200000001</v>
      </c>
      <c r="M75" s="12">
        <f t="shared" si="12"/>
        <v>1195.5053548387098</v>
      </c>
      <c r="N75" s="12">
        <f t="shared" si="13"/>
        <v>1556547.9720000001</v>
      </c>
      <c r="O75" s="14">
        <f>IF(OR($N75="",$N$153=""),"",IFERROR($N75/$N$153,0))</f>
        <v>2.8315205665105569E-3</v>
      </c>
    </row>
    <row r="76" spans="1:15" ht="15.6">
      <c r="A76" s="60">
        <v>9</v>
      </c>
      <c r="B76" s="52" t="s">
        <v>245</v>
      </c>
      <c r="C76" s="62" t="s">
        <v>246</v>
      </c>
      <c r="D76" s="37">
        <v>896</v>
      </c>
      <c r="E76" s="77">
        <v>1300.9151785714287</v>
      </c>
      <c r="F76" s="77">
        <v>411.42857142857144</v>
      </c>
      <c r="G76" s="77">
        <v>87.053571428571431</v>
      </c>
      <c r="H76" s="12">
        <f t="shared" si="7"/>
        <v>1612260</v>
      </c>
      <c r="I76" s="12">
        <f t="shared" si="8"/>
        <v>128980.8</v>
      </c>
      <c r="J76" s="12">
        <f t="shared" si="9"/>
        <v>128980.8</v>
      </c>
      <c r="K76" s="12">
        <f t="shared" si="10"/>
        <v>93511.080000000016</v>
      </c>
      <c r="L76" s="12">
        <f t="shared" si="11"/>
        <v>351472.68000000005</v>
      </c>
      <c r="M76" s="12">
        <f t="shared" si="12"/>
        <v>2191.6659375000004</v>
      </c>
      <c r="N76" s="12">
        <f t="shared" si="13"/>
        <v>1963732.6800000002</v>
      </c>
      <c r="O76" s="14">
        <f>IF(OR($N76="",$N$153=""),"",IFERROR($N76/$N$153,0))</f>
        <v>3.572231354620206E-3</v>
      </c>
    </row>
    <row r="77" spans="1:15" ht="15.6">
      <c r="A77" s="60">
        <v>10</v>
      </c>
      <c r="B77" s="52" t="s">
        <v>247</v>
      </c>
      <c r="C77" s="62" t="s">
        <v>164</v>
      </c>
      <c r="D77" s="37">
        <v>973.5</v>
      </c>
      <c r="E77" s="77">
        <v>1050.3338469440164</v>
      </c>
      <c r="F77" s="77">
        <v>145.15870570107859</v>
      </c>
      <c r="G77" s="77">
        <v>0</v>
      </c>
      <c r="H77" s="12">
        <f t="shared" si="7"/>
        <v>1163812</v>
      </c>
      <c r="I77" s="12">
        <f t="shared" si="8"/>
        <v>93104.960000000006</v>
      </c>
      <c r="J77" s="12">
        <f t="shared" si="9"/>
        <v>93104.960000000006</v>
      </c>
      <c r="K77" s="12">
        <f t="shared" si="10"/>
        <v>67501.096000000005</v>
      </c>
      <c r="L77" s="12">
        <f t="shared" si="11"/>
        <v>253711.016</v>
      </c>
      <c r="M77" s="12">
        <f t="shared" si="12"/>
        <v>1456.1099291217258</v>
      </c>
      <c r="N77" s="12">
        <f t="shared" si="13"/>
        <v>1417523.0160000001</v>
      </c>
      <c r="O77" s="14">
        <f>IF(OR($N77="",$N$153=""),"",IFERROR($N77/$N$153,0))</f>
        <v>2.57861989833107E-3</v>
      </c>
    </row>
    <row r="78" spans="1:15" ht="15.6">
      <c r="A78" s="60">
        <v>11</v>
      </c>
      <c r="B78" s="52" t="s">
        <v>248</v>
      </c>
      <c r="C78" s="62" t="s">
        <v>164</v>
      </c>
      <c r="D78" s="37">
        <v>11752.04</v>
      </c>
      <c r="E78" s="77">
        <v>150</v>
      </c>
      <c r="F78" s="77">
        <v>0</v>
      </c>
      <c r="G78" s="77">
        <v>0</v>
      </c>
      <c r="H78" s="12">
        <f t="shared" si="7"/>
        <v>1762806.0000000002</v>
      </c>
      <c r="I78" s="12">
        <f t="shared" si="8"/>
        <v>141024.48000000001</v>
      </c>
      <c r="J78" s="12">
        <f t="shared" si="9"/>
        <v>141024.48000000001</v>
      </c>
      <c r="K78" s="12">
        <f t="shared" si="10"/>
        <v>102242.74800000002</v>
      </c>
      <c r="L78" s="12">
        <f t="shared" si="11"/>
        <v>384291.70800000004</v>
      </c>
      <c r="M78" s="12">
        <f t="shared" si="12"/>
        <v>182.7</v>
      </c>
      <c r="N78" s="12">
        <f t="shared" si="13"/>
        <v>2147097.7080000001</v>
      </c>
      <c r="O78" s="14">
        <f>IF(OR($N78="",$N$153=""),"",IFERROR($N78/$N$153,0))</f>
        <v>3.9057911660108336E-3</v>
      </c>
    </row>
    <row r="79" spans="1:15" ht="15.6">
      <c r="A79" s="60">
        <v>12</v>
      </c>
      <c r="B79" s="52" t="s">
        <v>249</v>
      </c>
      <c r="C79" s="62" t="s">
        <v>246</v>
      </c>
      <c r="D79" s="37">
        <v>842</v>
      </c>
      <c r="E79" s="77">
        <v>2774.3467933491688</v>
      </c>
      <c r="F79" s="77">
        <v>342.95486935866984</v>
      </c>
      <c r="G79" s="77">
        <v>741.0926365795724</v>
      </c>
      <c r="H79" s="12">
        <f t="shared" si="7"/>
        <v>3248768</v>
      </c>
      <c r="I79" s="12">
        <f t="shared" si="8"/>
        <v>259901.44</v>
      </c>
      <c r="J79" s="12">
        <f t="shared" si="9"/>
        <v>259901.44</v>
      </c>
      <c r="K79" s="12">
        <f t="shared" si="10"/>
        <v>188428.54399999999</v>
      </c>
      <c r="L79" s="12">
        <f t="shared" si="11"/>
        <v>708231.424</v>
      </c>
      <c r="M79" s="12">
        <f t="shared" si="12"/>
        <v>4699.5242565320668</v>
      </c>
      <c r="N79" s="12">
        <f t="shared" si="13"/>
        <v>3956999.4240000001</v>
      </c>
      <c r="O79" s="14">
        <f>IF(OR($N79="",$N$153=""),"",IFERROR($N79/$N$153,0))</f>
        <v>7.1981882038174841E-3</v>
      </c>
    </row>
    <row r="80" spans="1:15" ht="15.6">
      <c r="A80" s="60">
        <v>13</v>
      </c>
      <c r="B80" s="52" t="s">
        <v>250</v>
      </c>
      <c r="C80" s="62" t="s">
        <v>183</v>
      </c>
      <c r="D80" s="37">
        <v>24</v>
      </c>
      <c r="E80" s="77">
        <v>5000</v>
      </c>
      <c r="F80" s="77">
        <v>2048</v>
      </c>
      <c r="G80" s="77">
        <v>0</v>
      </c>
      <c r="H80" s="12">
        <f t="shared" si="7"/>
        <v>169152</v>
      </c>
      <c r="I80" s="12">
        <f t="shared" si="8"/>
        <v>13532.16</v>
      </c>
      <c r="J80" s="12">
        <f t="shared" si="9"/>
        <v>13532.16</v>
      </c>
      <c r="K80" s="12">
        <f t="shared" si="10"/>
        <v>9810.8160000000007</v>
      </c>
      <c r="L80" s="12">
        <f t="shared" si="11"/>
        <v>36875.135999999999</v>
      </c>
      <c r="M80" s="12">
        <f t="shared" si="12"/>
        <v>8584.4639999999999</v>
      </c>
      <c r="N80" s="12">
        <f t="shared" si="13"/>
        <v>206027.136</v>
      </c>
      <c r="O80" s="14">
        <f>IF(OR($N80="",$N$153=""),"",IFERROR($N80/$N$153,0))</f>
        <v>3.7478451248354298E-4</v>
      </c>
    </row>
    <row r="81" spans="1:15" ht="15.6">
      <c r="A81" s="60">
        <v>14</v>
      </c>
      <c r="B81" s="52" t="s">
        <v>251</v>
      </c>
      <c r="C81" s="62" t="s">
        <v>183</v>
      </c>
      <c r="D81" s="37">
        <v>29</v>
      </c>
      <c r="E81" s="77">
        <v>57314.74</v>
      </c>
      <c r="F81" s="77">
        <v>7344</v>
      </c>
      <c r="G81" s="77">
        <v>3000</v>
      </c>
      <c r="H81" s="12">
        <f t="shared" si="7"/>
        <v>1962103.4599999997</v>
      </c>
      <c r="I81" s="12">
        <f t="shared" si="8"/>
        <v>156968.27679999999</v>
      </c>
      <c r="J81" s="12">
        <f t="shared" si="9"/>
        <v>156968.27679999999</v>
      </c>
      <c r="K81" s="12">
        <f t="shared" si="10"/>
        <v>113802.00068</v>
      </c>
      <c r="L81" s="12">
        <f t="shared" si="11"/>
        <v>427738.55427999998</v>
      </c>
      <c r="M81" s="12">
        <f t="shared" si="12"/>
        <v>82408.345319999993</v>
      </c>
      <c r="N81" s="12">
        <f t="shared" si="13"/>
        <v>2389842.0142799998</v>
      </c>
      <c r="O81" s="14">
        <f>IF(OR($N81="",$N$153=""),"",IFERROR($N81/$N$153,0))</f>
        <v>4.3473679808596578E-3</v>
      </c>
    </row>
    <row r="82" spans="1:15" ht="15.9" thickBot="1">
      <c r="A82" s="60">
        <v>15</v>
      </c>
      <c r="B82" s="52" t="s">
        <v>252</v>
      </c>
      <c r="C82" s="62" t="s">
        <v>253</v>
      </c>
      <c r="D82" s="37">
        <v>43</v>
      </c>
      <c r="E82" s="77">
        <v>35000</v>
      </c>
      <c r="F82" s="77">
        <v>3586.6046511627906</v>
      </c>
      <c r="G82" s="77">
        <v>4395.3488372093025</v>
      </c>
      <c r="H82" s="12">
        <f t="shared" si="7"/>
        <v>1848224.0000000002</v>
      </c>
      <c r="I82" s="12">
        <f t="shared" si="8"/>
        <v>147857.92000000001</v>
      </c>
      <c r="J82" s="12">
        <f t="shared" si="9"/>
        <v>147857.92000000001</v>
      </c>
      <c r="K82" s="12">
        <f t="shared" si="10"/>
        <v>107196.99200000003</v>
      </c>
      <c r="L82" s="12">
        <f t="shared" si="11"/>
        <v>402912.83200000005</v>
      </c>
      <c r="M82" s="12">
        <f t="shared" si="12"/>
        <v>52352.019348837217</v>
      </c>
      <c r="N82" s="12">
        <f t="shared" si="13"/>
        <v>2251136.8320000004</v>
      </c>
      <c r="O82" s="14">
        <f>IF(OR($N82="",$N$153=""),"",IFERROR($N82/$N$153,0))</f>
        <v>4.0950490139069233E-3</v>
      </c>
    </row>
    <row r="83" spans="1:15" ht="15.9" thickBot="1">
      <c r="A83" s="46" t="s">
        <v>254</v>
      </c>
      <c r="B83" s="59"/>
      <c r="C83" s="47"/>
      <c r="D83" s="48"/>
      <c r="E83" s="48"/>
      <c r="F83" s="48"/>
      <c r="G83" s="48"/>
      <c r="H83" s="12">
        <f t="shared" si="7"/>
        <v>0</v>
      </c>
      <c r="I83" s="12">
        <f t="shared" si="8"/>
        <v>0</v>
      </c>
      <c r="J83" s="12">
        <f t="shared" si="9"/>
        <v>0</v>
      </c>
      <c r="K83" s="12">
        <f t="shared" si="10"/>
        <v>0</v>
      </c>
      <c r="L83" s="12">
        <f t="shared" si="11"/>
        <v>0</v>
      </c>
      <c r="M83" s="12" t="str">
        <f t="shared" si="12"/>
        <v/>
      </c>
      <c r="N83" s="12">
        <f t="shared" si="13"/>
        <v>0</v>
      </c>
      <c r="O83" s="14">
        <f>IF(OR($N83="",$N$153=""),"",IFERROR($N83/$N$153,0))</f>
        <v>0</v>
      </c>
    </row>
    <row r="84" spans="1:15" ht="15.9" thickBot="1">
      <c r="A84" s="60">
        <v>1</v>
      </c>
      <c r="B84" s="52" t="s">
        <v>254</v>
      </c>
      <c r="C84" s="62" t="s">
        <v>153</v>
      </c>
      <c r="D84" s="37">
        <v>1</v>
      </c>
      <c r="E84" s="77">
        <v>84153.8</v>
      </c>
      <c r="F84" s="77">
        <v>22032</v>
      </c>
      <c r="G84" s="77">
        <v>24000</v>
      </c>
      <c r="H84" s="12">
        <f t="shared" si="7"/>
        <v>130185.8</v>
      </c>
      <c r="I84" s="12">
        <f t="shared" si="8"/>
        <v>10414.864</v>
      </c>
      <c r="J84" s="12">
        <f t="shared" si="9"/>
        <v>10414.864</v>
      </c>
      <c r="K84" s="12">
        <f t="shared" si="10"/>
        <v>7550.7763999999997</v>
      </c>
      <c r="L84" s="12">
        <f t="shared" si="11"/>
        <v>28380.504399999998</v>
      </c>
      <c r="M84" s="12">
        <f t="shared" si="12"/>
        <v>158566.30439999999</v>
      </c>
      <c r="N84" s="12">
        <f t="shared" si="13"/>
        <v>158566.30439999999</v>
      </c>
      <c r="O84" s="14">
        <f>IF(OR($N84="",$N$153=""),"",IFERROR($N84/$N$153,0))</f>
        <v>2.8844838716231573E-4</v>
      </c>
    </row>
    <row r="85" spans="1:15" ht="15.9" thickBot="1">
      <c r="A85" s="46" t="s">
        <v>255</v>
      </c>
      <c r="B85" s="59"/>
      <c r="C85" s="47"/>
      <c r="D85" s="48"/>
      <c r="E85" s="48"/>
      <c r="F85" s="48"/>
      <c r="G85" s="48"/>
      <c r="H85" s="12">
        <f t="shared" si="7"/>
        <v>0</v>
      </c>
      <c r="I85" s="12">
        <f t="shared" si="8"/>
        <v>0</v>
      </c>
      <c r="J85" s="12">
        <f t="shared" si="9"/>
        <v>0</v>
      </c>
      <c r="K85" s="12">
        <f t="shared" si="10"/>
        <v>0</v>
      </c>
      <c r="L85" s="12">
        <f t="shared" si="11"/>
        <v>0</v>
      </c>
      <c r="M85" s="12" t="str">
        <f t="shared" si="12"/>
        <v/>
      </c>
      <c r="N85" s="12">
        <f t="shared" si="13"/>
        <v>0</v>
      </c>
      <c r="O85" s="14">
        <f>IF(OR($N85="",$N$153=""),"",IFERROR($N85/$N$153,0))</f>
        <v>0</v>
      </c>
    </row>
    <row r="86" spans="1:15" ht="15.9" thickBot="1">
      <c r="A86" s="60">
        <v>1</v>
      </c>
      <c r="B86" s="61" t="s">
        <v>255</v>
      </c>
      <c r="C86" s="62" t="s">
        <v>153</v>
      </c>
      <c r="D86" s="37">
        <v>1</v>
      </c>
      <c r="E86" s="77">
        <v>89828</v>
      </c>
      <c r="F86" s="77">
        <v>14688</v>
      </c>
      <c r="G86" s="77">
        <v>12000</v>
      </c>
      <c r="H86" s="12">
        <f t="shared" si="7"/>
        <v>116516</v>
      </c>
      <c r="I86" s="12">
        <f t="shared" si="8"/>
        <v>9321.2800000000007</v>
      </c>
      <c r="J86" s="12">
        <f t="shared" si="9"/>
        <v>9321.2800000000007</v>
      </c>
      <c r="K86" s="12">
        <f t="shared" si="10"/>
        <v>6757.9279999999999</v>
      </c>
      <c r="L86" s="12">
        <f t="shared" si="11"/>
        <v>25400.488000000001</v>
      </c>
      <c r="M86" s="12">
        <f t="shared" si="12"/>
        <v>141916.48800000001</v>
      </c>
      <c r="N86" s="12">
        <f t="shared" si="13"/>
        <v>141916.48800000001</v>
      </c>
      <c r="O86" s="14">
        <f>IF(OR($N86="",$N$153=""),"",IFERROR($N86/$N$153,0))</f>
        <v>2.5816066175116169E-4</v>
      </c>
    </row>
    <row r="87" spans="1:15" ht="15.9" thickBot="1">
      <c r="A87" s="46" t="s">
        <v>256</v>
      </c>
      <c r="B87" s="59"/>
      <c r="C87" s="47"/>
      <c r="D87" s="48"/>
      <c r="E87" s="48"/>
      <c r="F87" s="48"/>
      <c r="G87" s="48"/>
      <c r="H87" s="12">
        <f t="shared" si="7"/>
        <v>0</v>
      </c>
      <c r="I87" s="12">
        <f t="shared" si="8"/>
        <v>0</v>
      </c>
      <c r="J87" s="12">
        <f t="shared" si="9"/>
        <v>0</v>
      </c>
      <c r="K87" s="12">
        <f t="shared" si="10"/>
        <v>0</v>
      </c>
      <c r="L87" s="12">
        <f t="shared" si="11"/>
        <v>0</v>
      </c>
      <c r="M87" s="12" t="str">
        <f t="shared" si="12"/>
        <v/>
      </c>
      <c r="N87" s="12">
        <f t="shared" si="13"/>
        <v>0</v>
      </c>
      <c r="O87" s="14">
        <f>IF(OR($N87="",$N$153=""),"",IFERROR($N87/$N$153,0))</f>
        <v>0</v>
      </c>
    </row>
    <row r="88" spans="1:15" ht="15.9" thickBot="1">
      <c r="A88" s="60">
        <v>1</v>
      </c>
      <c r="B88" s="61" t="s">
        <v>257</v>
      </c>
      <c r="C88" s="62" t="s">
        <v>153</v>
      </c>
      <c r="D88" s="37">
        <v>1</v>
      </c>
      <c r="E88" s="77">
        <v>3935000</v>
      </c>
      <c r="F88" s="77">
        <v>0</v>
      </c>
      <c r="G88" s="77">
        <v>0</v>
      </c>
      <c r="H88" s="12">
        <f t="shared" si="7"/>
        <v>3935000</v>
      </c>
      <c r="I88" s="12">
        <f t="shared" si="8"/>
        <v>314800</v>
      </c>
      <c r="J88" s="12">
        <f t="shared" si="9"/>
        <v>314800</v>
      </c>
      <c r="K88" s="12">
        <f t="shared" si="10"/>
        <v>228230</v>
      </c>
      <c r="L88" s="12">
        <f t="shared" si="11"/>
        <v>857830</v>
      </c>
      <c r="M88" s="12">
        <f t="shared" si="12"/>
        <v>4792830</v>
      </c>
      <c r="N88" s="12">
        <f t="shared" si="13"/>
        <v>4792830</v>
      </c>
      <c r="O88" s="14">
        <f>IF(OR($N88="",$N$153=""),"",IFERROR($N88/$N$153,0))</f>
        <v>8.7186498334204839E-3</v>
      </c>
    </row>
    <row r="89" spans="1:15" ht="15.9" thickBot="1">
      <c r="A89" s="46" t="s">
        <v>258</v>
      </c>
      <c r="B89" s="59"/>
      <c r="C89" s="47"/>
      <c r="D89" s="48"/>
      <c r="E89" s="48"/>
      <c r="F89" s="48"/>
      <c r="G89" s="48"/>
      <c r="H89" s="12">
        <f t="shared" si="7"/>
        <v>0</v>
      </c>
      <c r="I89" s="12">
        <f t="shared" si="8"/>
        <v>0</v>
      </c>
      <c r="J89" s="12">
        <f t="shared" si="9"/>
        <v>0</v>
      </c>
      <c r="K89" s="12">
        <f t="shared" si="10"/>
        <v>0</v>
      </c>
      <c r="L89" s="12">
        <f t="shared" si="11"/>
        <v>0</v>
      </c>
      <c r="M89" s="12" t="str">
        <f t="shared" si="12"/>
        <v/>
      </c>
      <c r="N89" s="12">
        <f t="shared" si="13"/>
        <v>0</v>
      </c>
      <c r="O89" s="14">
        <f>IF(OR($N89="",$N$153=""),"",IFERROR($N89/$N$153,0))</f>
        <v>0</v>
      </c>
    </row>
    <row r="90" spans="1:15" ht="15.6">
      <c r="A90" s="91">
        <v>1</v>
      </c>
      <c r="B90" s="92" t="s">
        <v>259</v>
      </c>
      <c r="C90" s="93" t="s">
        <v>165</v>
      </c>
      <c r="D90" s="63">
        <v>62.973000000000013</v>
      </c>
      <c r="E90" s="89">
        <v>0</v>
      </c>
      <c r="F90" s="89">
        <v>48.782811681196691</v>
      </c>
      <c r="G90" s="89">
        <v>95.278929064837286</v>
      </c>
      <c r="H90" s="12">
        <f t="shared" si="7"/>
        <v>9072</v>
      </c>
      <c r="I90" s="12">
        <f t="shared" si="8"/>
        <v>725.76</v>
      </c>
      <c r="J90" s="12">
        <f t="shared" si="9"/>
        <v>725.76</v>
      </c>
      <c r="K90" s="12">
        <f t="shared" si="10"/>
        <v>526.17600000000004</v>
      </c>
      <c r="L90" s="12">
        <f t="shared" si="11"/>
        <v>1977.6959999999999</v>
      </c>
      <c r="M90" s="12">
        <f t="shared" si="12"/>
        <v>175.46720022866938</v>
      </c>
      <c r="N90" s="12">
        <f t="shared" si="13"/>
        <v>11049.696</v>
      </c>
      <c r="O90" s="14">
        <f>IF(OR($N90="",$N$153=""),"",IFERROR($N90/$N$153,0))</f>
        <v>2.0100531458396602E-5</v>
      </c>
    </row>
    <row r="91" spans="1:15" ht="15.6">
      <c r="A91" s="60">
        <v>2</v>
      </c>
      <c r="B91" s="61" t="s">
        <v>182</v>
      </c>
      <c r="C91" s="62" t="s">
        <v>165</v>
      </c>
      <c r="D91" s="37">
        <v>30.539500000000004</v>
      </c>
      <c r="E91" s="77">
        <v>1150</v>
      </c>
      <c r="F91" s="77">
        <v>683.96666612092531</v>
      </c>
      <c r="G91" s="77">
        <v>392.93374154783146</v>
      </c>
      <c r="H91" s="12">
        <f t="shared" si="7"/>
        <v>68008.425000000017</v>
      </c>
      <c r="I91" s="12">
        <f t="shared" si="8"/>
        <v>5440.6740000000018</v>
      </c>
      <c r="J91" s="12">
        <f t="shared" si="9"/>
        <v>5440.6740000000018</v>
      </c>
      <c r="K91" s="12">
        <f t="shared" si="10"/>
        <v>3944.4886500000011</v>
      </c>
      <c r="L91" s="12">
        <f t="shared" si="11"/>
        <v>14825.836650000005</v>
      </c>
      <c r="M91" s="12">
        <f t="shared" si="12"/>
        <v>2712.3646965405464</v>
      </c>
      <c r="N91" s="12">
        <f t="shared" si="13"/>
        <v>82834.261650000029</v>
      </c>
      <c r="O91" s="14">
        <f>IF(OR($N91="",$N$153=""),"",IFERROR($N91/$N$153,0))</f>
        <v>1.5068402625093767E-4</v>
      </c>
    </row>
    <row r="92" spans="1:15" ht="15.6">
      <c r="A92" s="60">
        <v>3</v>
      </c>
      <c r="B92" s="61" t="s">
        <v>239</v>
      </c>
      <c r="C92" s="62" t="s">
        <v>165</v>
      </c>
      <c r="D92" s="37">
        <v>58.75</v>
      </c>
      <c r="E92" s="77">
        <v>632.5</v>
      </c>
      <c r="F92" s="77">
        <v>622.19574468085102</v>
      </c>
      <c r="G92" s="77">
        <v>357.44680851063828</v>
      </c>
      <c r="H92" s="12">
        <f t="shared" si="7"/>
        <v>94713.375</v>
      </c>
      <c r="I92" s="12">
        <f t="shared" si="8"/>
        <v>7577.07</v>
      </c>
      <c r="J92" s="12">
        <f t="shared" si="9"/>
        <v>7577.07</v>
      </c>
      <c r="K92" s="12">
        <f t="shared" si="10"/>
        <v>5493.3757500000011</v>
      </c>
      <c r="L92" s="12">
        <f t="shared" si="11"/>
        <v>20647.515749999999</v>
      </c>
      <c r="M92" s="12">
        <f t="shared" si="12"/>
        <v>1963.5896297872339</v>
      </c>
      <c r="N92" s="12">
        <f t="shared" si="13"/>
        <v>115360.89074999999</v>
      </c>
      <c r="O92" s="14">
        <f>IF(OR($N92="",$N$153=""),"",IFERROR($N92/$N$153,0))</f>
        <v>2.0985330398130668E-4</v>
      </c>
    </row>
    <row r="93" spans="1:15" ht="15.6">
      <c r="A93" s="60">
        <v>4</v>
      </c>
      <c r="B93" s="61" t="s">
        <v>184</v>
      </c>
      <c r="C93" s="62" t="s">
        <v>165</v>
      </c>
      <c r="D93" s="37">
        <v>38.750500000000002</v>
      </c>
      <c r="E93" s="77">
        <v>5200</v>
      </c>
      <c r="F93" s="77">
        <v>237.10661797912283</v>
      </c>
      <c r="G93" s="77">
        <v>77.418355892182035</v>
      </c>
      <c r="H93" s="12">
        <f t="shared" si="7"/>
        <v>213690.60000000003</v>
      </c>
      <c r="I93" s="12">
        <f t="shared" si="8"/>
        <v>17095.248000000003</v>
      </c>
      <c r="J93" s="12">
        <f t="shared" si="9"/>
        <v>17095.248000000003</v>
      </c>
      <c r="K93" s="12">
        <f t="shared" si="10"/>
        <v>12394.054800000002</v>
      </c>
      <c r="L93" s="12">
        <f t="shared" si="11"/>
        <v>46584.550800000012</v>
      </c>
      <c r="M93" s="12">
        <f t="shared" si="12"/>
        <v>6716.6914181752509</v>
      </c>
      <c r="N93" s="12">
        <f t="shared" si="13"/>
        <v>260275.15080000006</v>
      </c>
      <c r="O93" s="14">
        <f>IF(OR($N93="",$N$153=""),"",IFERROR($N93/$N$153,0))</f>
        <v>4.7346722086239487E-4</v>
      </c>
    </row>
    <row r="94" spans="1:15" ht="15.6">
      <c r="A94" s="60">
        <v>5</v>
      </c>
      <c r="B94" s="61" t="s">
        <v>187</v>
      </c>
      <c r="C94" s="62" t="s">
        <v>194</v>
      </c>
      <c r="D94" s="37">
        <v>5812.5750000000007</v>
      </c>
      <c r="E94" s="77">
        <v>63</v>
      </c>
      <c r="F94" s="77">
        <v>6.8713091874083334</v>
      </c>
      <c r="G94" s="77">
        <v>3.0967342356872809</v>
      </c>
      <c r="H94" s="12">
        <f t="shared" si="7"/>
        <v>424132.22500000003</v>
      </c>
      <c r="I94" s="12">
        <f t="shared" si="8"/>
        <v>33930.578000000001</v>
      </c>
      <c r="J94" s="12">
        <f t="shared" si="9"/>
        <v>33930.578000000001</v>
      </c>
      <c r="K94" s="12">
        <f t="shared" si="10"/>
        <v>24599.66905</v>
      </c>
      <c r="L94" s="12">
        <f t="shared" si="11"/>
        <v>92460.825049999999</v>
      </c>
      <c r="M94" s="12">
        <f t="shared" si="12"/>
        <v>88.875076889330458</v>
      </c>
      <c r="N94" s="12">
        <f t="shared" si="13"/>
        <v>516593.05005000002</v>
      </c>
      <c r="O94" s="14">
        <f>IF(OR($N94="",$N$153=""),"",IFERROR($N94/$N$153,0))</f>
        <v>9.3973579487789314E-4</v>
      </c>
    </row>
    <row r="95" spans="1:15" ht="15.6">
      <c r="A95" s="60">
        <v>6</v>
      </c>
      <c r="B95" s="61" t="s">
        <v>260</v>
      </c>
      <c r="C95" s="62" t="s">
        <v>164</v>
      </c>
      <c r="D95" s="37">
        <v>45.9</v>
      </c>
      <c r="E95" s="77">
        <v>874.52769629629631</v>
      </c>
      <c r="F95" s="77">
        <v>366.23093681917214</v>
      </c>
      <c r="G95" s="77">
        <v>130.718954248366</v>
      </c>
      <c r="H95" s="12">
        <f t="shared" si="7"/>
        <v>62950.821260000004</v>
      </c>
      <c r="I95" s="12">
        <f t="shared" si="8"/>
        <v>5036.0657008000007</v>
      </c>
      <c r="J95" s="12">
        <f t="shared" si="9"/>
        <v>5036.0657008000007</v>
      </c>
      <c r="K95" s="12">
        <f t="shared" si="10"/>
        <v>3651.1476330800006</v>
      </c>
      <c r="L95" s="12">
        <f t="shared" si="11"/>
        <v>13723.279034680003</v>
      </c>
      <c r="M95" s="12">
        <f t="shared" si="12"/>
        <v>1670.4597014091507</v>
      </c>
      <c r="N95" s="12">
        <f t="shared" si="13"/>
        <v>76674.100294680014</v>
      </c>
      <c r="O95" s="14">
        <f>IF(OR($N95="",$N$153=""),"",IFERROR($N95/$N$153,0))</f>
        <v>1.3947806030296868E-4</v>
      </c>
    </row>
    <row r="96" spans="1:15" ht="15.6">
      <c r="A96" s="60">
        <v>7</v>
      </c>
      <c r="B96" s="61" t="s">
        <v>261</v>
      </c>
      <c r="C96" s="62" t="s">
        <v>164</v>
      </c>
      <c r="D96" s="37">
        <v>91.8</v>
      </c>
      <c r="E96" s="77">
        <v>125.2723311546841</v>
      </c>
      <c r="F96" s="77">
        <v>275.5773420479303</v>
      </c>
      <c r="G96" s="77">
        <v>65.359477124183002</v>
      </c>
      <c r="H96" s="12">
        <f t="shared" si="7"/>
        <v>42798</v>
      </c>
      <c r="I96" s="12">
        <f t="shared" si="8"/>
        <v>3423.84</v>
      </c>
      <c r="J96" s="12">
        <f t="shared" si="9"/>
        <v>3423.84</v>
      </c>
      <c r="K96" s="12">
        <f t="shared" si="10"/>
        <v>2482.2839999999997</v>
      </c>
      <c r="L96" s="12">
        <f t="shared" si="11"/>
        <v>9329.9639999999999</v>
      </c>
      <c r="M96" s="12">
        <f t="shared" si="12"/>
        <v>567.84274509803925</v>
      </c>
      <c r="N96" s="12">
        <f t="shared" si="13"/>
        <v>52127.964</v>
      </c>
      <c r="O96" s="14">
        <f>IF(OR($N96="",$N$153=""),"",IFERROR($N96/$N$153,0))</f>
        <v>9.4826118315306191E-5</v>
      </c>
    </row>
    <row r="97" spans="1:15" ht="15.6">
      <c r="A97" s="60">
        <v>8</v>
      </c>
      <c r="B97" s="61" t="s">
        <v>193</v>
      </c>
      <c r="C97" s="62" t="s">
        <v>194</v>
      </c>
      <c r="D97" s="37">
        <v>9402.1314999999995</v>
      </c>
      <c r="E97" s="77">
        <v>114.084144348013</v>
      </c>
      <c r="F97" s="77">
        <v>31.36650449953822</v>
      </c>
      <c r="G97" s="77">
        <v>15.76663759701723</v>
      </c>
      <c r="H97" s="12">
        <f t="shared" si="7"/>
        <v>1515786.1272249997</v>
      </c>
      <c r="I97" s="12">
        <f t="shared" si="8"/>
        <v>121262.89017799997</v>
      </c>
      <c r="J97" s="12">
        <f t="shared" si="9"/>
        <v>121262.89017799997</v>
      </c>
      <c r="K97" s="12">
        <f t="shared" si="10"/>
        <v>87915.595379049992</v>
      </c>
      <c r="L97" s="12">
        <f t="shared" si="11"/>
        <v>330441.37573504995</v>
      </c>
      <c r="M97" s="12">
        <f t="shared" si="12"/>
        <v>196.36265488948433</v>
      </c>
      <c r="N97" s="12">
        <f t="shared" si="13"/>
        <v>1846227.5029600495</v>
      </c>
      <c r="O97" s="14">
        <f>IF(OR($N97="",$N$153=""),"",IFERROR($N97/$N$153,0))</f>
        <v>3.3584773737309593E-3</v>
      </c>
    </row>
    <row r="98" spans="1:15" ht="15.6">
      <c r="A98" s="60">
        <v>9</v>
      </c>
      <c r="B98" s="61" t="s">
        <v>262</v>
      </c>
      <c r="C98" s="62" t="s">
        <v>164</v>
      </c>
      <c r="D98" s="37">
        <v>248.6</v>
      </c>
      <c r="E98" s="77">
        <v>900</v>
      </c>
      <c r="F98" s="77">
        <v>0</v>
      </c>
      <c r="G98" s="77">
        <v>0</v>
      </c>
      <c r="H98" s="12">
        <f t="shared" si="7"/>
        <v>223740</v>
      </c>
      <c r="I98" s="12">
        <f t="shared" si="8"/>
        <v>17899.2</v>
      </c>
      <c r="J98" s="12">
        <f t="shared" si="9"/>
        <v>17899.2</v>
      </c>
      <c r="K98" s="12">
        <f t="shared" si="10"/>
        <v>12976.920000000002</v>
      </c>
      <c r="L98" s="12">
        <f t="shared" si="11"/>
        <v>48775.320000000007</v>
      </c>
      <c r="M98" s="12">
        <f t="shared" si="12"/>
        <v>1096.2</v>
      </c>
      <c r="N98" s="12">
        <f t="shared" si="13"/>
        <v>272515.32</v>
      </c>
      <c r="O98" s="14">
        <f>IF(OR($N98="",$N$153=""),"",IFERROR($N98/$N$153,0))</f>
        <v>4.9573334529339245E-4</v>
      </c>
    </row>
    <row r="99" spans="1:15" ht="15.6">
      <c r="A99" s="60">
        <v>10</v>
      </c>
      <c r="B99" s="61" t="s">
        <v>263</v>
      </c>
      <c r="C99" s="62" t="s">
        <v>194</v>
      </c>
      <c r="D99" s="37">
        <v>13234.88</v>
      </c>
      <c r="E99" s="77">
        <v>114.03561135423969</v>
      </c>
      <c r="F99" s="77">
        <v>31.567494378490778</v>
      </c>
      <c r="G99" s="77">
        <v>14.00088251650185</v>
      </c>
      <c r="H99" s="12">
        <f t="shared" si="7"/>
        <v>2112339.6319999998</v>
      </c>
      <c r="I99" s="12">
        <f t="shared" si="8"/>
        <v>168987.17055999997</v>
      </c>
      <c r="J99" s="12">
        <f t="shared" si="9"/>
        <v>168987.17055999997</v>
      </c>
      <c r="K99" s="12">
        <f t="shared" si="10"/>
        <v>122515.69865599999</v>
      </c>
      <c r="L99" s="12">
        <f t="shared" si="11"/>
        <v>460490.03977599996</v>
      </c>
      <c r="M99" s="12">
        <f t="shared" si="12"/>
        <v>194.39765768756496</v>
      </c>
      <c r="N99" s="12">
        <f t="shared" si="13"/>
        <v>2572829.6717759995</v>
      </c>
      <c r="O99" s="14">
        <f>IF(OR($N99="",$N$153=""),"",IFERROR($N99/$N$153,0))</f>
        <v>4.6802413165601738E-3</v>
      </c>
    </row>
    <row r="100" spans="1:15" ht="15.6">
      <c r="A100" s="60">
        <v>11</v>
      </c>
      <c r="B100" s="61" t="s">
        <v>264</v>
      </c>
      <c r="C100" s="62" t="s">
        <v>164</v>
      </c>
      <c r="D100" s="37">
        <v>192</v>
      </c>
      <c r="E100" s="77">
        <v>180.20833333333334</v>
      </c>
      <c r="F100" s="77">
        <v>297.5625</v>
      </c>
      <c r="G100" s="77">
        <v>0</v>
      </c>
      <c r="H100" s="12">
        <f t="shared" si="7"/>
        <v>91732</v>
      </c>
      <c r="I100" s="12">
        <f t="shared" si="8"/>
        <v>7338.56</v>
      </c>
      <c r="J100" s="12">
        <f t="shared" si="9"/>
        <v>7338.56</v>
      </c>
      <c r="K100" s="12">
        <f t="shared" si="10"/>
        <v>5320.4560000000001</v>
      </c>
      <c r="L100" s="12">
        <f t="shared" si="11"/>
        <v>19997.576000000001</v>
      </c>
      <c r="M100" s="12">
        <f t="shared" si="12"/>
        <v>581.92487500000004</v>
      </c>
      <c r="N100" s="12">
        <f t="shared" si="13"/>
        <v>111729.576</v>
      </c>
      <c r="O100" s="14">
        <f>IF(OR($N100="",$N$153=""),"",IFERROR($N100/$N$153,0))</f>
        <v>2.0324756963642385E-4</v>
      </c>
    </row>
    <row r="101" spans="1:15" ht="15.6">
      <c r="A101" s="60">
        <v>12</v>
      </c>
      <c r="B101" s="61" t="s">
        <v>265</v>
      </c>
      <c r="C101" s="62" t="s">
        <v>164</v>
      </c>
      <c r="D101" s="37">
        <v>34.4</v>
      </c>
      <c r="E101" s="77">
        <v>5148.375</v>
      </c>
      <c r="F101" s="77">
        <v>1954.6511627906978</v>
      </c>
      <c r="G101" s="77">
        <v>0</v>
      </c>
      <c r="H101" s="12">
        <f t="shared" si="7"/>
        <v>244344.09999999998</v>
      </c>
      <c r="I101" s="12">
        <f t="shared" si="8"/>
        <v>19547.527999999998</v>
      </c>
      <c r="J101" s="12">
        <f t="shared" si="9"/>
        <v>19547.527999999998</v>
      </c>
      <c r="K101" s="12">
        <f t="shared" si="10"/>
        <v>14171.957799999998</v>
      </c>
      <c r="L101" s="12">
        <f t="shared" si="11"/>
        <v>53267.013799999993</v>
      </c>
      <c r="M101" s="12">
        <f t="shared" si="12"/>
        <v>8651.4858662790703</v>
      </c>
      <c r="N101" s="12">
        <f t="shared" si="13"/>
        <v>297611.11379999999</v>
      </c>
      <c r="O101" s="14">
        <f>IF(OR($N101="",$N$153=""),"",IFERROR($N101/$N$153,0))</f>
        <v>5.4138517071468308E-4</v>
      </c>
    </row>
    <row r="102" spans="1:15" ht="15.6">
      <c r="A102" s="60">
        <v>13</v>
      </c>
      <c r="B102" s="61" t="s">
        <v>266</v>
      </c>
      <c r="C102" s="62" t="s">
        <v>164</v>
      </c>
      <c r="D102" s="37">
        <v>307.39999999999998</v>
      </c>
      <c r="E102" s="77">
        <v>1120.6245933636956</v>
      </c>
      <c r="F102" s="77">
        <v>82.026675341574503</v>
      </c>
      <c r="G102" s="77">
        <v>0</v>
      </c>
      <c r="H102" s="12">
        <f t="shared" si="7"/>
        <v>369695</v>
      </c>
      <c r="I102" s="12">
        <f t="shared" si="8"/>
        <v>29575.600000000002</v>
      </c>
      <c r="J102" s="12">
        <f t="shared" si="9"/>
        <v>29575.600000000002</v>
      </c>
      <c r="K102" s="12">
        <f t="shared" si="10"/>
        <v>21442.309999999998</v>
      </c>
      <c r="L102" s="12">
        <f t="shared" si="11"/>
        <v>80593.510000000009</v>
      </c>
      <c r="M102" s="12">
        <f t="shared" si="12"/>
        <v>1464.829245283019</v>
      </c>
      <c r="N102" s="12">
        <f t="shared" si="13"/>
        <v>450288.51</v>
      </c>
      <c r="O102" s="14">
        <f>IF(OR($N102="",$N$153=""),"",IFERROR($N102/$N$153,0))</f>
        <v>8.191210292671883E-4</v>
      </c>
    </row>
    <row r="103" spans="1:15" ht="15.6">
      <c r="A103" s="60">
        <v>14</v>
      </c>
      <c r="B103" s="61" t="s">
        <v>218</v>
      </c>
      <c r="C103" s="62" t="s">
        <v>153</v>
      </c>
      <c r="D103" s="37">
        <v>1</v>
      </c>
      <c r="E103" s="77">
        <v>10200</v>
      </c>
      <c r="F103" s="77">
        <v>4161</v>
      </c>
      <c r="G103" s="77">
        <v>0</v>
      </c>
      <c r="H103" s="12">
        <f t="shared" si="7"/>
        <v>14361</v>
      </c>
      <c r="I103" s="12">
        <f t="shared" si="8"/>
        <v>1148.8800000000001</v>
      </c>
      <c r="J103" s="12">
        <f t="shared" si="9"/>
        <v>1148.8800000000001</v>
      </c>
      <c r="K103" s="12">
        <f t="shared" si="10"/>
        <v>832.9380000000001</v>
      </c>
      <c r="L103" s="12">
        <f t="shared" si="11"/>
        <v>3130.6980000000003</v>
      </c>
      <c r="M103" s="12">
        <f t="shared" si="12"/>
        <v>17491.698</v>
      </c>
      <c r="N103" s="12">
        <f t="shared" si="13"/>
        <v>17491.698</v>
      </c>
      <c r="O103" s="14">
        <f>IF(OR($N103="",$N$153=""),"",IFERROR($N103/$N$153,0))</f>
        <v>3.1819194474650971E-5</v>
      </c>
    </row>
    <row r="104" spans="1:15" ht="15.9" thickBot="1">
      <c r="A104" s="60">
        <v>15</v>
      </c>
      <c r="B104" s="94" t="s">
        <v>221</v>
      </c>
      <c r="C104" s="95" t="s">
        <v>153</v>
      </c>
      <c r="D104" s="96">
        <v>1</v>
      </c>
      <c r="E104" s="97">
        <v>172039.25821940103</v>
      </c>
      <c r="F104" s="97">
        <v>50430</v>
      </c>
      <c r="G104" s="97">
        <v>0</v>
      </c>
      <c r="H104" s="12">
        <f t="shared" si="7"/>
        <v>222469.25821940103</v>
      </c>
      <c r="I104" s="12">
        <f t="shared" si="8"/>
        <v>17797.540657552083</v>
      </c>
      <c r="J104" s="12">
        <f t="shared" si="9"/>
        <v>17797.540657552083</v>
      </c>
      <c r="K104" s="12">
        <f t="shared" si="10"/>
        <v>12903.21697672526</v>
      </c>
      <c r="L104" s="12">
        <f t="shared" si="11"/>
        <v>48498.298291829429</v>
      </c>
      <c r="M104" s="12">
        <f t="shared" si="12"/>
        <v>270967.55651123048</v>
      </c>
      <c r="N104" s="12">
        <f t="shared" si="13"/>
        <v>270967.55651123048</v>
      </c>
      <c r="O104" s="14">
        <f>IF(OR($N104="",$N$153=""),"",IFERROR($N104/$N$153,0))</f>
        <v>4.9291780460375086E-4</v>
      </c>
    </row>
    <row r="105" spans="1:15" ht="15.9" thickBot="1">
      <c r="A105" s="46" t="s">
        <v>267</v>
      </c>
      <c r="B105" s="59"/>
      <c r="C105" s="47"/>
      <c r="D105" s="48"/>
      <c r="E105" s="48"/>
      <c r="F105" s="48"/>
      <c r="G105" s="48"/>
      <c r="H105" s="12">
        <f t="shared" si="7"/>
        <v>0</v>
      </c>
      <c r="I105" s="12">
        <f t="shared" si="8"/>
        <v>0</v>
      </c>
      <c r="J105" s="12">
        <f t="shared" si="9"/>
        <v>0</v>
      </c>
      <c r="K105" s="12">
        <f t="shared" si="10"/>
        <v>0</v>
      </c>
      <c r="L105" s="12">
        <f t="shared" si="11"/>
        <v>0</v>
      </c>
      <c r="M105" s="12" t="str">
        <f t="shared" si="12"/>
        <v/>
      </c>
      <c r="N105" s="12">
        <f t="shared" si="13"/>
        <v>0</v>
      </c>
      <c r="O105" s="14">
        <f>IF(OR($N105="",$N$153=""),"",IFERROR($N105/$N$153,0))</f>
        <v>0</v>
      </c>
    </row>
    <row r="106" spans="1:15" ht="15.6">
      <c r="A106" s="91">
        <v>1</v>
      </c>
      <c r="B106" s="92" t="s">
        <v>259</v>
      </c>
      <c r="C106" s="93" t="s">
        <v>165</v>
      </c>
      <c r="D106" s="63">
        <v>104.38800000000001</v>
      </c>
      <c r="E106" s="89">
        <v>0</v>
      </c>
      <c r="F106" s="89">
        <v>25.012453538720923</v>
      </c>
      <c r="G106" s="89">
        <v>57.477871019657428</v>
      </c>
      <c r="H106" s="12">
        <f t="shared" si="7"/>
        <v>8611</v>
      </c>
      <c r="I106" s="12">
        <f t="shared" si="8"/>
        <v>688.88</v>
      </c>
      <c r="J106" s="12">
        <f t="shared" si="9"/>
        <v>688.88</v>
      </c>
      <c r="K106" s="12">
        <f t="shared" si="10"/>
        <v>499.43799999999993</v>
      </c>
      <c r="L106" s="12">
        <f t="shared" si="11"/>
        <v>1877.1979999999999</v>
      </c>
      <c r="M106" s="12">
        <f t="shared" si="12"/>
        <v>100.47321531210484</v>
      </c>
      <c r="N106" s="12">
        <f t="shared" si="13"/>
        <v>10488.198</v>
      </c>
      <c r="O106" s="14">
        <f>IF(OR($N106="",$N$153=""),"",IFERROR($N106/$N$153,0))</f>
        <v>1.9079108949322439E-5</v>
      </c>
    </row>
    <row r="107" spans="1:15" ht="15.6">
      <c r="A107" s="60">
        <v>2</v>
      </c>
      <c r="B107" s="61" t="s">
        <v>182</v>
      </c>
      <c r="C107" s="62" t="s">
        <v>165</v>
      </c>
      <c r="D107" s="37">
        <v>35.408000000000001</v>
      </c>
      <c r="E107" s="77">
        <v>1149.9999999999998</v>
      </c>
      <c r="F107" s="77">
        <v>73.740397650248525</v>
      </c>
      <c r="G107" s="77">
        <v>254.17984636240396</v>
      </c>
      <c r="H107" s="12">
        <f t="shared" si="7"/>
        <v>52330.2</v>
      </c>
      <c r="I107" s="12">
        <f t="shared" si="8"/>
        <v>4186.4160000000002</v>
      </c>
      <c r="J107" s="12">
        <f t="shared" si="9"/>
        <v>4186.4160000000002</v>
      </c>
      <c r="K107" s="12">
        <f t="shared" si="10"/>
        <v>3035.1515999999997</v>
      </c>
      <c r="L107" s="12">
        <f t="shared" si="11"/>
        <v>11407.9836</v>
      </c>
      <c r="M107" s="12">
        <f t="shared" si="12"/>
        <v>1800.1068572074105</v>
      </c>
      <c r="N107" s="12">
        <f t="shared" si="13"/>
        <v>63738.183599999997</v>
      </c>
      <c r="O107" s="14">
        <f>IF(OR($N107="",$N$153=""),"",IFERROR($N107/$N$153,0))</f>
        <v>1.1594629974913865E-4</v>
      </c>
    </row>
    <row r="108" spans="1:15" ht="15.6">
      <c r="A108" s="60">
        <v>3</v>
      </c>
      <c r="B108" s="61" t="s">
        <v>239</v>
      </c>
      <c r="C108" s="62" t="s">
        <v>165</v>
      </c>
      <c r="D108" s="37">
        <v>59.425000000000004</v>
      </c>
      <c r="E108" s="77">
        <v>632.5</v>
      </c>
      <c r="F108" s="77">
        <v>43.93773664282709</v>
      </c>
      <c r="G108" s="77">
        <v>302.90281867900711</v>
      </c>
      <c r="H108" s="12">
        <f t="shared" si="7"/>
        <v>58197.312500000007</v>
      </c>
      <c r="I108" s="12">
        <f t="shared" si="8"/>
        <v>4655.7850000000008</v>
      </c>
      <c r="J108" s="12">
        <f t="shared" si="9"/>
        <v>4655.7850000000008</v>
      </c>
      <c r="K108" s="12">
        <f t="shared" si="10"/>
        <v>3375.4441250000004</v>
      </c>
      <c r="L108" s="12">
        <f t="shared" si="11"/>
        <v>12687.014125000002</v>
      </c>
      <c r="M108" s="12">
        <f t="shared" si="12"/>
        <v>1192.8367963819942</v>
      </c>
      <c r="N108" s="12">
        <f t="shared" si="13"/>
        <v>70884.326625000016</v>
      </c>
      <c r="O108" s="14">
        <f>IF(OR($N108="",$N$153=""),"",IFERROR($N108/$N$153,0))</f>
        <v>1.2894586758161245E-4</v>
      </c>
    </row>
    <row r="109" spans="1:15" ht="15.6">
      <c r="A109" s="60">
        <v>4</v>
      </c>
      <c r="B109" s="61" t="s">
        <v>184</v>
      </c>
      <c r="C109" s="62" t="s">
        <v>165</v>
      </c>
      <c r="D109" s="37">
        <v>56.406999999999996</v>
      </c>
      <c r="E109" s="77">
        <v>5200</v>
      </c>
      <c r="F109" s="77">
        <v>977.32550924530653</v>
      </c>
      <c r="G109" s="77">
        <v>319.10933040225507</v>
      </c>
      <c r="H109" s="12">
        <f t="shared" si="7"/>
        <v>366444.39999999997</v>
      </c>
      <c r="I109" s="12">
        <f t="shared" si="8"/>
        <v>29315.551999999996</v>
      </c>
      <c r="J109" s="12">
        <f t="shared" si="9"/>
        <v>29315.551999999996</v>
      </c>
      <c r="K109" s="12">
        <f t="shared" si="10"/>
        <v>21253.7752</v>
      </c>
      <c r="L109" s="12">
        <f t="shared" si="11"/>
        <v>79884.879199999996</v>
      </c>
      <c r="M109" s="12">
        <f t="shared" si="12"/>
        <v>7912.6576346907304</v>
      </c>
      <c r="N109" s="12">
        <f t="shared" si="13"/>
        <v>446329.27919999999</v>
      </c>
      <c r="O109" s="14">
        <f>IF(OR($N109="",$N$153=""),"",IFERROR($N109/$N$153,0))</f>
        <v>8.1191878196133912E-4</v>
      </c>
    </row>
    <row r="110" spans="1:15" ht="15.6">
      <c r="A110" s="60">
        <v>5</v>
      </c>
      <c r="B110" s="61" t="s">
        <v>187</v>
      </c>
      <c r="C110" s="62" t="s">
        <v>194</v>
      </c>
      <c r="D110" s="37">
        <v>7332.91</v>
      </c>
      <c r="E110" s="77">
        <v>62.999999999999993</v>
      </c>
      <c r="F110" s="77">
        <v>6.5360136698800337</v>
      </c>
      <c r="G110" s="77">
        <v>2.4546871569404236</v>
      </c>
      <c r="H110" s="12">
        <f t="shared" si="7"/>
        <v>527901.32999999984</v>
      </c>
      <c r="I110" s="12">
        <f t="shared" si="8"/>
        <v>42232.10639999999</v>
      </c>
      <c r="J110" s="12">
        <f t="shared" si="9"/>
        <v>42232.10639999999</v>
      </c>
      <c r="K110" s="12">
        <f t="shared" si="10"/>
        <v>30618.277139999987</v>
      </c>
      <c r="L110" s="12">
        <f t="shared" si="11"/>
        <v>115082.48993999997</v>
      </c>
      <c r="M110" s="12">
        <f t="shared" si="12"/>
        <v>87.684673607067296</v>
      </c>
      <c r="N110" s="12">
        <f t="shared" si="13"/>
        <v>642983.81993999984</v>
      </c>
      <c r="O110" s="14">
        <f>IF(OR($N110="",$N$153=""),"",IFERROR($N110/$N$153,0))</f>
        <v>1.169653581414727E-3</v>
      </c>
    </row>
    <row r="111" spans="1:15" ht="15.6">
      <c r="A111" s="60">
        <v>6</v>
      </c>
      <c r="B111" s="61" t="s">
        <v>260</v>
      </c>
      <c r="C111" s="62" t="s">
        <v>164</v>
      </c>
      <c r="D111" s="37">
        <v>317.97000000000003</v>
      </c>
      <c r="E111" s="77">
        <v>553.77626272289831</v>
      </c>
      <c r="F111" s="77">
        <v>237.89980186810075</v>
      </c>
      <c r="G111" s="77">
        <v>84.913671101047257</v>
      </c>
      <c r="H111" s="12">
        <f t="shared" si="7"/>
        <v>278729.238258</v>
      </c>
      <c r="I111" s="12">
        <f t="shared" si="8"/>
        <v>22298.339060639999</v>
      </c>
      <c r="J111" s="12">
        <f t="shared" si="9"/>
        <v>22298.339060639999</v>
      </c>
      <c r="K111" s="12">
        <f t="shared" si="10"/>
        <v>16166.295818964003</v>
      </c>
      <c r="L111" s="12">
        <f t="shared" si="11"/>
        <v>60762.973940244003</v>
      </c>
      <c r="M111" s="12">
        <f t="shared" si="12"/>
        <v>1067.6862980729125</v>
      </c>
      <c r="N111" s="12">
        <f t="shared" si="13"/>
        <v>339492.212198244</v>
      </c>
      <c r="O111" s="14">
        <f>IF(OR($N111="",$N$153=""),"",IFERROR($N111/$N$153,0))</f>
        <v>6.1757118848984247E-4</v>
      </c>
    </row>
    <row r="112" spans="1:15" ht="15.6">
      <c r="A112" s="60">
        <v>7</v>
      </c>
      <c r="B112" s="61" t="s">
        <v>261</v>
      </c>
      <c r="C112" s="62" t="s">
        <v>164</v>
      </c>
      <c r="D112" s="37">
        <v>635.94000000000005</v>
      </c>
      <c r="E112" s="77">
        <v>113.21822813472969</v>
      </c>
      <c r="F112" s="77">
        <v>258.57313583042423</v>
      </c>
      <c r="G112" s="77">
        <v>61.326540239645247</v>
      </c>
      <c r="H112" s="12">
        <f t="shared" si="7"/>
        <v>275437</v>
      </c>
      <c r="I112" s="12">
        <f t="shared" si="8"/>
        <v>22034.959999999999</v>
      </c>
      <c r="J112" s="12">
        <f t="shared" si="9"/>
        <v>22034.959999999999</v>
      </c>
      <c r="K112" s="12">
        <f t="shared" si="10"/>
        <v>15975.346000000003</v>
      </c>
      <c r="L112" s="12">
        <f t="shared" si="11"/>
        <v>60045.266000000003</v>
      </c>
      <c r="M112" s="12">
        <f t="shared" si="12"/>
        <v>527.53760732144542</v>
      </c>
      <c r="N112" s="12">
        <f t="shared" si="13"/>
        <v>335482.266</v>
      </c>
      <c r="O112" s="14">
        <f>IF(OR($N112="",$N$153=""),"",IFERROR($N112/$N$153,0))</f>
        <v>6.1027668466781147E-4</v>
      </c>
    </row>
    <row r="113" spans="1:15" ht="15.6">
      <c r="A113" s="60">
        <v>8</v>
      </c>
      <c r="B113" s="61" t="s">
        <v>193</v>
      </c>
      <c r="C113" s="62" t="s">
        <v>194</v>
      </c>
      <c r="D113" s="37">
        <v>10082.335999999999</v>
      </c>
      <c r="E113" s="77">
        <v>114.31454282023529</v>
      </c>
      <c r="F113" s="77">
        <v>25.009085196129153</v>
      </c>
      <c r="G113" s="77">
        <v>14.702941857918642</v>
      </c>
      <c r="H113" s="12">
        <f t="shared" si="7"/>
        <v>1552947.6303999997</v>
      </c>
      <c r="I113" s="12">
        <f t="shared" si="8"/>
        <v>124235.81043199997</v>
      </c>
      <c r="J113" s="12">
        <f t="shared" si="9"/>
        <v>124235.81043199997</v>
      </c>
      <c r="K113" s="12">
        <f t="shared" si="10"/>
        <v>90070.962563199995</v>
      </c>
      <c r="L113" s="12">
        <f t="shared" si="11"/>
        <v>338542.58342719992</v>
      </c>
      <c r="M113" s="12">
        <f t="shared" si="12"/>
        <v>187.60436210687678</v>
      </c>
      <c r="N113" s="12">
        <f t="shared" si="13"/>
        <v>1891490.2138271995</v>
      </c>
      <c r="O113" s="14">
        <f>IF(OR($N113="",$N$153=""),"",IFERROR($N113/$N$153,0))</f>
        <v>3.4408148917656144E-3</v>
      </c>
    </row>
    <row r="114" spans="1:15" ht="15.6">
      <c r="A114" s="60">
        <v>9</v>
      </c>
      <c r="B114" s="61" t="s">
        <v>262</v>
      </c>
      <c r="C114" s="62" t="s">
        <v>164</v>
      </c>
      <c r="D114" s="37">
        <v>220.88000000000002</v>
      </c>
      <c r="E114" s="77">
        <v>900</v>
      </c>
      <c r="F114" s="77">
        <v>0</v>
      </c>
      <c r="G114" s="77"/>
      <c r="H114" s="12">
        <f t="shared" si="7"/>
        <v>198792.00000000003</v>
      </c>
      <c r="I114" s="12">
        <f t="shared" si="8"/>
        <v>15903.360000000002</v>
      </c>
      <c r="J114" s="12">
        <f t="shared" si="9"/>
        <v>15903.360000000002</v>
      </c>
      <c r="K114" s="12">
        <f t="shared" si="10"/>
        <v>11529.936000000003</v>
      </c>
      <c r="L114" s="12">
        <f t="shared" si="11"/>
        <v>43336.65600000001</v>
      </c>
      <c r="M114" s="12">
        <f t="shared" si="12"/>
        <v>1096.2</v>
      </c>
      <c r="N114" s="12">
        <f t="shared" si="13"/>
        <v>242128.65600000005</v>
      </c>
      <c r="O114" s="14">
        <f>IF(OR($N114="",$N$153=""),"",IFERROR($N114/$N$153,0))</f>
        <v>4.4045688378280186E-4</v>
      </c>
    </row>
    <row r="115" spans="1:15" ht="15.6">
      <c r="A115" s="60">
        <v>10</v>
      </c>
      <c r="B115" s="61" t="s">
        <v>263</v>
      </c>
      <c r="C115" s="62" t="s">
        <v>153</v>
      </c>
      <c r="D115" s="37">
        <v>1</v>
      </c>
      <c r="E115" s="77">
        <v>818102.00399999996</v>
      </c>
      <c r="F115" s="77">
        <v>151290</v>
      </c>
      <c r="G115" s="77">
        <v>74120</v>
      </c>
      <c r="H115" s="12">
        <f t="shared" si="7"/>
        <v>1043512.004</v>
      </c>
      <c r="I115" s="12">
        <f t="shared" si="8"/>
        <v>83480.960319999998</v>
      </c>
      <c r="J115" s="12">
        <f t="shared" si="9"/>
        <v>83480.960319999998</v>
      </c>
      <c r="K115" s="12">
        <f t="shared" si="10"/>
        <v>60523.696232000009</v>
      </c>
      <c r="L115" s="12">
        <f t="shared" si="11"/>
        <v>227485.61687200001</v>
      </c>
      <c r="M115" s="12">
        <f t="shared" si="12"/>
        <v>1270997.620872</v>
      </c>
      <c r="N115" s="12">
        <f t="shared" si="13"/>
        <v>1270997.620872</v>
      </c>
      <c r="O115" s="14">
        <f>IF(OR($N115="",$N$153=""),"",IFERROR($N115/$N$153,0))</f>
        <v>2.3120751613333866E-3</v>
      </c>
    </row>
    <row r="116" spans="1:15" ht="15.6">
      <c r="A116" s="60">
        <v>11</v>
      </c>
      <c r="B116" s="61" t="s">
        <v>264</v>
      </c>
      <c r="C116" s="62" t="s">
        <v>164</v>
      </c>
      <c r="D116" s="37">
        <v>907.38</v>
      </c>
      <c r="E116" s="77">
        <v>174.62364169366748</v>
      </c>
      <c r="F116" s="77">
        <v>296.41385086733231</v>
      </c>
      <c r="G116" s="77">
        <v>0</v>
      </c>
      <c r="H116" s="12">
        <f t="shared" si="7"/>
        <v>427410</v>
      </c>
      <c r="I116" s="12">
        <f t="shared" si="8"/>
        <v>34192.800000000003</v>
      </c>
      <c r="J116" s="12">
        <f t="shared" si="9"/>
        <v>34192.800000000003</v>
      </c>
      <c r="K116" s="12">
        <f t="shared" si="10"/>
        <v>24789.78</v>
      </c>
      <c r="L116" s="12">
        <f t="shared" si="11"/>
        <v>93175.38</v>
      </c>
      <c r="M116" s="12">
        <f t="shared" si="12"/>
        <v>573.7236659392978</v>
      </c>
      <c r="N116" s="12">
        <f t="shared" si="13"/>
        <v>520585.38</v>
      </c>
      <c r="O116" s="14">
        <f>IF(OR($N116="",$N$153=""),"",IFERROR($N116/$N$153,0))</f>
        <v>9.4699825293576858E-4</v>
      </c>
    </row>
    <row r="117" spans="1:15" ht="15.6">
      <c r="A117" s="60">
        <v>12</v>
      </c>
      <c r="B117" s="61" t="s">
        <v>265</v>
      </c>
      <c r="C117" s="62" t="s">
        <v>164</v>
      </c>
      <c r="D117" s="37">
        <v>108.27</v>
      </c>
      <c r="E117" s="77">
        <v>2412.4318832548261</v>
      </c>
      <c r="F117" s="77">
        <v>931.55998891659738</v>
      </c>
      <c r="G117" s="77">
        <v>0</v>
      </c>
      <c r="H117" s="12">
        <f t="shared" si="7"/>
        <v>362054</v>
      </c>
      <c r="I117" s="12">
        <f t="shared" si="8"/>
        <v>28964.32</v>
      </c>
      <c r="J117" s="12">
        <f t="shared" si="9"/>
        <v>28964.32</v>
      </c>
      <c r="K117" s="12">
        <f t="shared" si="10"/>
        <v>20999.132000000001</v>
      </c>
      <c r="L117" s="12">
        <f t="shared" si="11"/>
        <v>78927.771999999997</v>
      </c>
      <c r="M117" s="12">
        <f t="shared" si="12"/>
        <v>4072.9821003047937</v>
      </c>
      <c r="N117" s="12">
        <f t="shared" si="13"/>
        <v>440981.772</v>
      </c>
      <c r="O117" s="14">
        <f>IF(OR($N117="",$N$153=""),"",IFERROR($N117/$N$153,0))</f>
        <v>8.0219111735431252E-4</v>
      </c>
    </row>
    <row r="118" spans="1:15" ht="15.6">
      <c r="A118" s="60">
        <v>13</v>
      </c>
      <c r="B118" s="61" t="s">
        <v>266</v>
      </c>
      <c r="C118" s="62" t="s">
        <v>164</v>
      </c>
      <c r="D118" s="37">
        <v>243.26</v>
      </c>
      <c r="E118" s="77">
        <v>1120.541807119954</v>
      </c>
      <c r="F118" s="77">
        <v>241.8605607169284</v>
      </c>
      <c r="G118" s="77">
        <v>0</v>
      </c>
      <c r="H118" s="12">
        <f t="shared" si="7"/>
        <v>331418</v>
      </c>
      <c r="I118" s="12">
        <f t="shared" si="8"/>
        <v>26513.440000000002</v>
      </c>
      <c r="J118" s="12">
        <f t="shared" si="9"/>
        <v>26513.440000000002</v>
      </c>
      <c r="K118" s="12">
        <f t="shared" si="10"/>
        <v>19222.244000000002</v>
      </c>
      <c r="L118" s="12">
        <f t="shared" si="11"/>
        <v>72249.124000000011</v>
      </c>
      <c r="M118" s="12">
        <f t="shared" si="12"/>
        <v>1659.4060840253228</v>
      </c>
      <c r="N118" s="12">
        <f t="shared" si="13"/>
        <v>403667.12400000001</v>
      </c>
      <c r="O118" s="14">
        <f>IF(OR($N118="",$N$153=""),"",IFERROR($N118/$N$153,0))</f>
        <v>7.3431194167536211E-4</v>
      </c>
    </row>
    <row r="119" spans="1:15" ht="15.6">
      <c r="A119" s="60">
        <v>14</v>
      </c>
      <c r="B119" s="61" t="s">
        <v>268</v>
      </c>
      <c r="C119" s="62" t="s">
        <v>246</v>
      </c>
      <c r="D119" s="37">
        <v>5.6</v>
      </c>
      <c r="E119" s="77">
        <v>6002.5</v>
      </c>
      <c r="F119" s="77">
        <v>2797.5</v>
      </c>
      <c r="G119" s="77"/>
      <c r="H119" s="12">
        <f t="shared" si="7"/>
        <v>49280</v>
      </c>
      <c r="I119" s="12">
        <f t="shared" si="8"/>
        <v>3942.4</v>
      </c>
      <c r="J119" s="12">
        <f t="shared" si="9"/>
        <v>3942.4</v>
      </c>
      <c r="K119" s="12">
        <f t="shared" si="10"/>
        <v>2858.2400000000002</v>
      </c>
      <c r="L119" s="12">
        <f t="shared" si="11"/>
        <v>10743.04</v>
      </c>
      <c r="M119" s="12">
        <f t="shared" si="12"/>
        <v>10718.400000000001</v>
      </c>
      <c r="N119" s="12">
        <f t="shared" si="13"/>
        <v>60023.040000000001</v>
      </c>
      <c r="O119" s="14">
        <f>IF(OR($N119="",$N$153=""),"",IFERROR($N119/$N$153,0))</f>
        <v>1.0918807211968525E-4</v>
      </c>
    </row>
    <row r="120" spans="1:15" ht="15.6">
      <c r="A120" s="60">
        <v>15</v>
      </c>
      <c r="B120" s="61" t="s">
        <v>269</v>
      </c>
      <c r="C120" s="62" t="s">
        <v>164</v>
      </c>
      <c r="D120" s="37">
        <v>15.199999999999998</v>
      </c>
      <c r="E120" s="69">
        <v>6075</v>
      </c>
      <c r="F120" s="69">
        <v>2404.8684210526321</v>
      </c>
      <c r="G120" s="69"/>
      <c r="H120" s="12">
        <f t="shared" si="7"/>
        <v>128893.99999999999</v>
      </c>
      <c r="I120" s="12">
        <f t="shared" si="8"/>
        <v>10311.519999999999</v>
      </c>
      <c r="J120" s="12">
        <f t="shared" si="9"/>
        <v>10311.519999999999</v>
      </c>
      <c r="K120" s="12">
        <f t="shared" si="10"/>
        <v>7475.851999999999</v>
      </c>
      <c r="L120" s="12">
        <f t="shared" si="11"/>
        <v>28098.891999999996</v>
      </c>
      <c r="M120" s="12">
        <f t="shared" si="12"/>
        <v>10328.479736842106</v>
      </c>
      <c r="N120" s="12">
        <f t="shared" si="13"/>
        <v>156992.89199999999</v>
      </c>
      <c r="O120" s="14">
        <f>IF(OR($N120="",$N$153=""),"",IFERROR($N120/$N$153,0))</f>
        <v>2.8558618846986021E-4</v>
      </c>
    </row>
    <row r="121" spans="1:15" ht="15.6">
      <c r="A121" s="60">
        <v>16</v>
      </c>
      <c r="B121" s="61" t="s">
        <v>270</v>
      </c>
      <c r="C121" s="62" t="s">
        <v>164</v>
      </c>
      <c r="D121" s="37">
        <v>17.010000000000002</v>
      </c>
      <c r="E121" s="69">
        <v>2310</v>
      </c>
      <c r="F121" s="69">
        <v>920.98765432098753</v>
      </c>
      <c r="G121" s="69"/>
      <c r="H121" s="12">
        <f t="shared" si="7"/>
        <v>54959.100000000006</v>
      </c>
      <c r="I121" s="12">
        <f t="shared" si="8"/>
        <v>4396.728000000001</v>
      </c>
      <c r="J121" s="12">
        <f t="shared" si="9"/>
        <v>4396.728000000001</v>
      </c>
      <c r="K121" s="12">
        <f t="shared" si="10"/>
        <v>3187.6278000000007</v>
      </c>
      <c r="L121" s="12">
        <f t="shared" si="11"/>
        <v>11981.083800000002</v>
      </c>
      <c r="M121" s="12">
        <f t="shared" si="12"/>
        <v>3935.3429629629636</v>
      </c>
      <c r="N121" s="12">
        <f t="shared" si="13"/>
        <v>66940.183800000013</v>
      </c>
      <c r="O121" s="14">
        <f>IF(OR($N121="",$N$153=""),"",IFERROR($N121/$N$153,0))</f>
        <v>1.2177106685131888E-4</v>
      </c>
    </row>
    <row r="122" spans="1:15" ht="15.6">
      <c r="A122" s="60">
        <v>17</v>
      </c>
      <c r="B122" s="61" t="s">
        <v>218</v>
      </c>
      <c r="C122" s="62" t="s">
        <v>153</v>
      </c>
      <c r="D122" s="37">
        <v>1</v>
      </c>
      <c r="E122" s="77">
        <v>81075</v>
      </c>
      <c r="F122" s="77">
        <v>25215</v>
      </c>
      <c r="G122" s="77">
        <v>0</v>
      </c>
      <c r="H122" s="12">
        <f t="shared" si="7"/>
        <v>106290</v>
      </c>
      <c r="I122" s="12">
        <f t="shared" si="8"/>
        <v>8503.2000000000007</v>
      </c>
      <c r="J122" s="12">
        <f t="shared" si="9"/>
        <v>8503.2000000000007</v>
      </c>
      <c r="K122" s="12">
        <f t="shared" si="10"/>
        <v>6164.82</v>
      </c>
      <c r="L122" s="12">
        <f t="shared" si="11"/>
        <v>23171.22</v>
      </c>
      <c r="M122" s="12">
        <f t="shared" si="12"/>
        <v>129461.22</v>
      </c>
      <c r="N122" s="12">
        <f t="shared" si="13"/>
        <v>129461.22</v>
      </c>
      <c r="O122" s="14">
        <f>IF(OR($N122="",$N$153=""),"",IFERROR($N122/$N$153,0))</f>
        <v>2.3550325051950783E-4</v>
      </c>
    </row>
    <row r="123" spans="1:15" ht="15.9" thickBot="1">
      <c r="A123" s="60">
        <v>18</v>
      </c>
      <c r="B123" s="94" t="s">
        <v>221</v>
      </c>
      <c r="C123" s="95" t="s">
        <v>153</v>
      </c>
      <c r="D123" s="96">
        <v>1</v>
      </c>
      <c r="E123" s="98">
        <v>116967.87948404947</v>
      </c>
      <c r="F123" s="98">
        <v>33620</v>
      </c>
      <c r="G123" s="98">
        <v>0</v>
      </c>
      <c r="H123" s="12">
        <f t="shared" si="7"/>
        <v>150587.87948404945</v>
      </c>
      <c r="I123" s="12">
        <f t="shared" si="8"/>
        <v>12047.030358723956</v>
      </c>
      <c r="J123" s="12">
        <f t="shared" si="9"/>
        <v>12047.030358723956</v>
      </c>
      <c r="K123" s="12">
        <f t="shared" si="10"/>
        <v>8734.0970100748673</v>
      </c>
      <c r="L123" s="12">
        <f t="shared" si="11"/>
        <v>32828.157727522776</v>
      </c>
      <c r="M123" s="12">
        <f t="shared" si="12"/>
        <v>183416.03721157223</v>
      </c>
      <c r="N123" s="12">
        <f t="shared" si="13"/>
        <v>183416.03721157223</v>
      </c>
      <c r="O123" s="14">
        <f>IF(OR($N123="",$N$153=""),"",IFERROR($N123/$N$153,0))</f>
        <v>3.3365260238341847E-4</v>
      </c>
    </row>
    <row r="124" spans="1:15" ht="15.9" thickBot="1">
      <c r="A124" s="46" t="s">
        <v>271</v>
      </c>
      <c r="B124" s="59"/>
      <c r="C124" s="47"/>
      <c r="D124" s="48"/>
      <c r="E124" s="48"/>
      <c r="F124" s="48"/>
      <c r="G124" s="48"/>
      <c r="H124" s="12">
        <f t="shared" si="7"/>
        <v>0</v>
      </c>
      <c r="I124" s="12">
        <f t="shared" si="8"/>
        <v>0</v>
      </c>
      <c r="J124" s="12">
        <f t="shared" si="9"/>
        <v>0</v>
      </c>
      <c r="K124" s="12">
        <f t="shared" si="10"/>
        <v>0</v>
      </c>
      <c r="L124" s="12">
        <f t="shared" si="11"/>
        <v>0</v>
      </c>
      <c r="M124" s="12" t="str">
        <f t="shared" si="12"/>
        <v/>
      </c>
      <c r="N124" s="12">
        <f t="shared" si="13"/>
        <v>0</v>
      </c>
      <c r="O124" s="14">
        <f>IF(OR($N124="",$N$153=""),"",IFERROR($N124/$N$153,0))</f>
        <v>0</v>
      </c>
    </row>
    <row r="125" spans="1:15" ht="15.6">
      <c r="A125" s="60">
        <v>1</v>
      </c>
      <c r="B125" s="61" t="s">
        <v>259</v>
      </c>
      <c r="C125" s="62" t="s">
        <v>165</v>
      </c>
      <c r="D125" s="37">
        <v>42.10499999999999</v>
      </c>
      <c r="E125" s="77">
        <v>0</v>
      </c>
      <c r="F125" s="77">
        <v>31.005818786367421</v>
      </c>
      <c r="G125" s="77">
        <v>71.250445315283244</v>
      </c>
      <c r="H125" s="12">
        <f t="shared" si="7"/>
        <v>4305.5</v>
      </c>
      <c r="I125" s="12">
        <f t="shared" si="8"/>
        <v>344.44</v>
      </c>
      <c r="J125" s="12">
        <f t="shared" si="9"/>
        <v>344.44</v>
      </c>
      <c r="K125" s="12">
        <f t="shared" si="10"/>
        <v>249.71899999999997</v>
      </c>
      <c r="L125" s="12">
        <f t="shared" si="11"/>
        <v>938.59899999999993</v>
      </c>
      <c r="M125" s="12">
        <f t="shared" si="12"/>
        <v>124.54812967581051</v>
      </c>
      <c r="N125" s="12">
        <f t="shared" si="13"/>
        <v>5244.0990000000002</v>
      </c>
      <c r="O125" s="14">
        <f>IF(OR($N125="",$N$153=""),"",IFERROR($N125/$N$153,0))</f>
        <v>9.5395544746612193E-6</v>
      </c>
    </row>
    <row r="126" spans="1:15" ht="15.6">
      <c r="A126" s="60">
        <v>2</v>
      </c>
      <c r="B126" s="61" t="s">
        <v>182</v>
      </c>
      <c r="C126" s="62" t="s">
        <v>165</v>
      </c>
      <c r="D126" s="37">
        <v>9.6645000000000003</v>
      </c>
      <c r="E126" s="77">
        <v>1150</v>
      </c>
      <c r="F126" s="77">
        <v>635.7286978115784</v>
      </c>
      <c r="G126" s="77">
        <v>0</v>
      </c>
      <c r="H126" s="12">
        <f t="shared" si="7"/>
        <v>17258.175000000003</v>
      </c>
      <c r="I126" s="12">
        <f t="shared" si="8"/>
        <v>1380.6540000000002</v>
      </c>
      <c r="J126" s="12">
        <f t="shared" si="9"/>
        <v>1380.6540000000002</v>
      </c>
      <c r="K126" s="12">
        <f t="shared" si="10"/>
        <v>1000.97415</v>
      </c>
      <c r="L126" s="12">
        <f t="shared" si="11"/>
        <v>3762.2821500000005</v>
      </c>
      <c r="M126" s="12">
        <f t="shared" si="12"/>
        <v>2175.0175539345028</v>
      </c>
      <c r="N126" s="12">
        <f t="shared" si="13"/>
        <v>21020.457150000002</v>
      </c>
      <c r="O126" s="14">
        <f>IF(OR($N126="",$N$153=""),"",IFERROR($N126/$N$153,0))</f>
        <v>3.8238369654102056E-5</v>
      </c>
    </row>
    <row r="127" spans="1:15" ht="15.6">
      <c r="A127" s="60">
        <v>3</v>
      </c>
      <c r="B127" s="61" t="s">
        <v>239</v>
      </c>
      <c r="C127" s="62" t="s">
        <v>165</v>
      </c>
      <c r="D127" s="37">
        <v>13.2325</v>
      </c>
      <c r="E127" s="77">
        <v>632.5</v>
      </c>
      <c r="F127" s="77">
        <v>928.62270923861706</v>
      </c>
      <c r="G127" s="77">
        <v>453.42905724541851</v>
      </c>
      <c r="H127" s="12">
        <f t="shared" si="7"/>
        <v>26657.556250000001</v>
      </c>
      <c r="I127" s="12">
        <f t="shared" si="8"/>
        <v>2132.6045000000004</v>
      </c>
      <c r="J127" s="12">
        <f t="shared" si="9"/>
        <v>2132.6045000000004</v>
      </c>
      <c r="K127" s="12">
        <f t="shared" si="10"/>
        <v>1546.1382625000003</v>
      </c>
      <c r="L127" s="12">
        <f t="shared" si="11"/>
        <v>5811.3472625000013</v>
      </c>
      <c r="M127" s="12">
        <f t="shared" si="12"/>
        <v>2453.7240515775552</v>
      </c>
      <c r="N127" s="12">
        <f t="shared" si="13"/>
        <v>32468.903512500001</v>
      </c>
      <c r="O127" s="14">
        <f>IF(OR($N127="",$N$153=""),"",IFERROR($N127/$N$153,0))</f>
        <v>5.9064268960218472E-5</v>
      </c>
    </row>
    <row r="128" spans="1:15" ht="15.6">
      <c r="A128" s="60">
        <v>4</v>
      </c>
      <c r="B128" s="61" t="s">
        <v>184</v>
      </c>
      <c r="C128" s="62" t="s">
        <v>165</v>
      </c>
      <c r="D128" s="37">
        <v>12.643000000000001</v>
      </c>
      <c r="E128" s="77">
        <v>5200</v>
      </c>
      <c r="F128" s="77">
        <v>726.72625168077195</v>
      </c>
      <c r="G128" s="77">
        <v>237.28545440164515</v>
      </c>
      <c r="H128" s="12">
        <f t="shared" si="7"/>
        <v>77931.600000000006</v>
      </c>
      <c r="I128" s="12">
        <f t="shared" si="8"/>
        <v>6234.5280000000002</v>
      </c>
      <c r="J128" s="12">
        <f t="shared" si="9"/>
        <v>6234.5280000000002</v>
      </c>
      <c r="K128" s="12">
        <f t="shared" si="10"/>
        <v>4520.0328000000009</v>
      </c>
      <c r="L128" s="12">
        <f t="shared" si="11"/>
        <v>16989.088800000001</v>
      </c>
      <c r="M128" s="12">
        <f t="shared" si="12"/>
        <v>7507.7662580083843</v>
      </c>
      <c r="N128" s="12">
        <f t="shared" si="13"/>
        <v>94920.688800000004</v>
      </c>
      <c r="O128" s="14">
        <f>IF(OR($N128="",$N$153=""),"",IFERROR($N128/$N$153,0))</f>
        <v>1.7267047810881622E-4</v>
      </c>
    </row>
    <row r="129" spans="1:15" ht="15.6">
      <c r="A129" s="60">
        <v>5</v>
      </c>
      <c r="B129" s="61" t="s">
        <v>187</v>
      </c>
      <c r="C129" s="62" t="s">
        <v>194</v>
      </c>
      <c r="D129" s="37">
        <v>1390.73</v>
      </c>
      <c r="E129" s="77">
        <v>63</v>
      </c>
      <c r="F129" s="77">
        <v>5.7437460901828539</v>
      </c>
      <c r="G129" s="77">
        <v>4.3142809891208218</v>
      </c>
      <c r="H129" s="12">
        <f t="shared" si="7"/>
        <v>101603.98999999999</v>
      </c>
      <c r="I129" s="12">
        <f t="shared" si="8"/>
        <v>8128.319199999999</v>
      </c>
      <c r="J129" s="12">
        <f t="shared" si="9"/>
        <v>8128.319199999999</v>
      </c>
      <c r="K129" s="12">
        <f t="shared" si="10"/>
        <v>5893.0314199999993</v>
      </c>
      <c r="L129" s="12">
        <f t="shared" si="11"/>
        <v>22149.669819999996</v>
      </c>
      <c r="M129" s="12">
        <f t="shared" si="12"/>
        <v>88.984676982591864</v>
      </c>
      <c r="N129" s="12">
        <f t="shared" si="13"/>
        <v>123753.65981999999</v>
      </c>
      <c r="O129" s="14">
        <f>IF(OR($N129="",$N$153=""),"",IFERROR($N129/$N$153,0))</f>
        <v>2.2512061257645653E-4</v>
      </c>
    </row>
    <row r="130" spans="1:15" ht="15.6">
      <c r="A130" s="60">
        <v>6</v>
      </c>
      <c r="B130" s="61" t="s">
        <v>260</v>
      </c>
      <c r="C130" s="62" t="s">
        <v>164</v>
      </c>
      <c r="D130" s="37">
        <v>78.11</v>
      </c>
      <c r="E130" s="77">
        <v>579.2043868134682</v>
      </c>
      <c r="F130" s="77">
        <v>322.81398028421455</v>
      </c>
      <c r="G130" s="77">
        <v>115.22212264754833</v>
      </c>
      <c r="H130" s="12">
        <f t="shared" si="7"/>
        <v>79456.654653999998</v>
      </c>
      <c r="I130" s="12">
        <f t="shared" si="8"/>
        <v>6356.5323723199999</v>
      </c>
      <c r="J130" s="12">
        <f t="shared" si="9"/>
        <v>6356.5323723199999</v>
      </c>
      <c r="K130" s="12">
        <f t="shared" si="10"/>
        <v>4608.4859699319995</v>
      </c>
      <c r="L130" s="12">
        <f t="shared" si="11"/>
        <v>17321.550714572</v>
      </c>
      <c r="M130" s="12">
        <f t="shared" si="12"/>
        <v>1238.9989165096915</v>
      </c>
      <c r="N130" s="12">
        <f t="shared" si="13"/>
        <v>96778.205368572002</v>
      </c>
      <c r="O130" s="14">
        <f>IF(OR($N130="",$N$153=""),"",IFERROR($N130/$N$153,0))</f>
        <v>1.7604949145190498E-4</v>
      </c>
    </row>
    <row r="131" spans="1:15" ht="15.6">
      <c r="A131" s="60">
        <v>7</v>
      </c>
      <c r="B131" s="61" t="s">
        <v>261</v>
      </c>
      <c r="C131" s="62" t="s">
        <v>164</v>
      </c>
      <c r="D131" s="37">
        <v>156.22</v>
      </c>
      <c r="E131" s="77">
        <v>118.42273716553578</v>
      </c>
      <c r="F131" s="77">
        <v>161.9382921520932</v>
      </c>
      <c r="G131" s="77">
        <v>38.407374215849444</v>
      </c>
      <c r="H131" s="12">
        <f t="shared" si="7"/>
        <v>49798.000000000007</v>
      </c>
      <c r="I131" s="12">
        <f t="shared" si="8"/>
        <v>3983.8400000000006</v>
      </c>
      <c r="J131" s="12">
        <f t="shared" si="9"/>
        <v>3983.8400000000006</v>
      </c>
      <c r="K131" s="12">
        <f t="shared" si="10"/>
        <v>2888.284000000001</v>
      </c>
      <c r="L131" s="12">
        <f t="shared" si="11"/>
        <v>10855.964000000002</v>
      </c>
      <c r="M131" s="12">
        <f t="shared" si="12"/>
        <v>388.25991550377677</v>
      </c>
      <c r="N131" s="12">
        <f t="shared" si="13"/>
        <v>60653.964000000007</v>
      </c>
      <c r="O131" s="14">
        <f>IF(OR($N131="",$N$153=""),"",IFERROR($N131/$N$153,0))</f>
        <v>1.1033578765048877E-4</v>
      </c>
    </row>
    <row r="132" spans="1:15" ht="15.6">
      <c r="A132" s="60">
        <v>8</v>
      </c>
      <c r="B132" s="61" t="s">
        <v>193</v>
      </c>
      <c r="C132" s="62" t="s">
        <v>194</v>
      </c>
      <c r="D132" s="37">
        <v>3568.08</v>
      </c>
      <c r="E132" s="77">
        <v>114.5668292190758</v>
      </c>
      <c r="F132" s="77">
        <v>23.556086186408375</v>
      </c>
      <c r="G132" s="77">
        <v>20.773076836842225</v>
      </c>
      <c r="H132" s="12">
        <f t="shared" si="7"/>
        <v>566953.61199999996</v>
      </c>
      <c r="I132" s="12">
        <f t="shared" si="8"/>
        <v>45356.288959999998</v>
      </c>
      <c r="J132" s="12">
        <f t="shared" si="9"/>
        <v>45356.288959999998</v>
      </c>
      <c r="K132" s="12">
        <f t="shared" si="10"/>
        <v>32883.309496000002</v>
      </c>
      <c r="L132" s="12">
        <f t="shared" si="11"/>
        <v>123595.887416</v>
      </c>
      <c r="M132" s="12">
        <f t="shared" si="12"/>
        <v>193.53531855115355</v>
      </c>
      <c r="N132" s="12">
        <f t="shared" si="13"/>
        <v>690549.49941599998</v>
      </c>
      <c r="O132" s="14">
        <f>IF(OR($N132="",$N$153=""),"",IFERROR($N132/$N$153,0))</f>
        <v>1.2561804357867704E-3</v>
      </c>
    </row>
    <row r="133" spans="1:15" ht="15.6">
      <c r="A133" s="60">
        <v>9</v>
      </c>
      <c r="B133" s="61" t="s">
        <v>262</v>
      </c>
      <c r="C133" s="62" t="s">
        <v>164</v>
      </c>
      <c r="D133" s="37">
        <v>77.400000000000006</v>
      </c>
      <c r="E133" s="77">
        <v>899.99999999999989</v>
      </c>
      <c r="F133" s="77">
        <v>0</v>
      </c>
      <c r="G133" s="77"/>
      <c r="H133" s="12">
        <f t="shared" ref="H133:H152" si="14">IF(COUNTA($A133:$G133)=0,"",$D133*SUM($E133:$G133))</f>
        <v>69660</v>
      </c>
      <c r="I133" s="12">
        <f t="shared" ref="I133:I152" si="15">IF($H133="","",$H133*$I$4)</f>
        <v>5572.8</v>
      </c>
      <c r="J133" s="12">
        <f t="shared" ref="J133:J152" si="16">IF($H133="","",$H133*$J$4)</f>
        <v>5572.8</v>
      </c>
      <c r="K133" s="12">
        <f t="shared" ref="K133:K152" si="17">IF($H133="","",($H133+$I133+$J133)*$K$4)</f>
        <v>4040.2800000000007</v>
      </c>
      <c r="L133" s="12">
        <f t="shared" ref="L133:L152" si="18">IF($H133="","",SUM($I133:$K133))</f>
        <v>15185.880000000001</v>
      </c>
      <c r="M133" s="12">
        <f t="shared" ref="M133:M152" si="19">IFERROR($N133/$D133,"")</f>
        <v>1096.2</v>
      </c>
      <c r="N133" s="12">
        <f t="shared" ref="N133:N152" si="20">IF($H133="","",$H133+$L133)</f>
        <v>84845.88</v>
      </c>
      <c r="O133" s="14">
        <f>IF(OR($N133="",$N$153=""),"",IFERROR($N133/$N$153,0))</f>
        <v>1.5434336655554537E-4</v>
      </c>
    </row>
    <row r="134" spans="1:15" ht="15.6">
      <c r="A134" s="60">
        <v>10</v>
      </c>
      <c r="B134" s="61" t="s">
        <v>263</v>
      </c>
      <c r="C134" s="62" t="s">
        <v>153</v>
      </c>
      <c r="D134" s="37">
        <v>1</v>
      </c>
      <c r="E134" s="77">
        <v>174690.97980000003</v>
      </c>
      <c r="F134" s="77">
        <v>33620</v>
      </c>
      <c r="G134" s="77">
        <v>6000</v>
      </c>
      <c r="H134" s="12">
        <f t="shared" si="14"/>
        <v>214310.97980000003</v>
      </c>
      <c r="I134" s="12">
        <f t="shared" si="15"/>
        <v>17144.878384000003</v>
      </c>
      <c r="J134" s="12">
        <f t="shared" si="16"/>
        <v>17144.878384000003</v>
      </c>
      <c r="K134" s="12">
        <f t="shared" si="17"/>
        <v>12430.036828400003</v>
      </c>
      <c r="L134" s="12">
        <f t="shared" si="18"/>
        <v>46719.793596400006</v>
      </c>
      <c r="M134" s="12">
        <f t="shared" si="19"/>
        <v>261030.77339640004</v>
      </c>
      <c r="N134" s="12">
        <f t="shared" si="20"/>
        <v>261030.77339640004</v>
      </c>
      <c r="O134" s="14">
        <f>IF(OR($N134="",$N$153=""),"",IFERROR($N134/$N$153,0))</f>
        <v>4.7484177594242722E-4</v>
      </c>
    </row>
    <row r="135" spans="1:15" ht="15.6">
      <c r="A135" s="60">
        <v>11</v>
      </c>
      <c r="B135" s="61" t="s">
        <v>264</v>
      </c>
      <c r="C135" s="62" t="s">
        <v>164</v>
      </c>
      <c r="D135" s="37">
        <v>257.02</v>
      </c>
      <c r="E135" s="77">
        <v>176.63995019842815</v>
      </c>
      <c r="F135" s="77">
        <v>294.31561746167614</v>
      </c>
      <c r="G135" s="77">
        <v>0</v>
      </c>
      <c r="H135" s="12">
        <f t="shared" si="14"/>
        <v>121045</v>
      </c>
      <c r="I135" s="12">
        <f t="shared" si="15"/>
        <v>9683.6</v>
      </c>
      <c r="J135" s="12">
        <f t="shared" si="16"/>
        <v>9683.6</v>
      </c>
      <c r="K135" s="12">
        <f t="shared" si="17"/>
        <v>7020.6100000000006</v>
      </c>
      <c r="L135" s="12">
        <f t="shared" si="18"/>
        <v>26387.81</v>
      </c>
      <c r="M135" s="12">
        <f t="shared" si="19"/>
        <v>573.62388141000702</v>
      </c>
      <c r="N135" s="12">
        <f t="shared" si="20"/>
        <v>147432.81</v>
      </c>
      <c r="O135" s="14">
        <f>IF(OR($N135="",$N$153=""),"",IFERROR($N135/$N$153,0))</f>
        <v>2.6819541781102475E-4</v>
      </c>
    </row>
    <row r="136" spans="1:15" ht="15.6">
      <c r="A136" s="60">
        <v>12</v>
      </c>
      <c r="B136" s="61" t="s">
        <v>265</v>
      </c>
      <c r="C136" s="62" t="s">
        <v>164</v>
      </c>
      <c r="D136" s="37">
        <v>26.78</v>
      </c>
      <c r="E136" s="77">
        <v>3314.7124719940252</v>
      </c>
      <c r="F136" s="77">
        <v>1255.4144884241971</v>
      </c>
      <c r="G136" s="77">
        <v>0</v>
      </c>
      <c r="H136" s="12">
        <f t="shared" si="14"/>
        <v>122388</v>
      </c>
      <c r="I136" s="12">
        <f t="shared" si="15"/>
        <v>9791.0400000000009</v>
      </c>
      <c r="J136" s="12">
        <f t="shared" si="16"/>
        <v>9791.0400000000009</v>
      </c>
      <c r="K136" s="12">
        <f t="shared" si="17"/>
        <v>7098.5040000000008</v>
      </c>
      <c r="L136" s="12">
        <f t="shared" si="18"/>
        <v>26680.584000000003</v>
      </c>
      <c r="M136" s="12">
        <f t="shared" si="19"/>
        <v>5566.4146377893949</v>
      </c>
      <c r="N136" s="12">
        <f t="shared" si="20"/>
        <v>149068.584</v>
      </c>
      <c r="O136" s="14">
        <f>IF(OR($N136="",$N$153=""),"",IFERROR($N136/$N$153,0))</f>
        <v>2.7117105865633197E-4</v>
      </c>
    </row>
    <row r="137" spans="1:15" ht="15.6">
      <c r="A137" s="60">
        <v>13</v>
      </c>
      <c r="B137" s="61" t="s">
        <v>266</v>
      </c>
      <c r="C137" s="62" t="s">
        <v>164</v>
      </c>
      <c r="D137" s="37">
        <v>57.52</v>
      </c>
      <c r="E137" s="77">
        <v>1274.0611961057023</v>
      </c>
      <c r="F137" s="77">
        <v>255.35465924895686</v>
      </c>
      <c r="G137" s="77">
        <v>0</v>
      </c>
      <c r="H137" s="12">
        <f t="shared" si="14"/>
        <v>87971.999999999985</v>
      </c>
      <c r="I137" s="12">
        <f t="shared" si="15"/>
        <v>7037.7599999999993</v>
      </c>
      <c r="J137" s="12">
        <f t="shared" si="16"/>
        <v>7037.7599999999993</v>
      </c>
      <c r="K137" s="12">
        <f t="shared" si="17"/>
        <v>5102.3759999999993</v>
      </c>
      <c r="L137" s="12">
        <f t="shared" si="18"/>
        <v>19177.895999999997</v>
      </c>
      <c r="M137" s="12">
        <f t="shared" si="19"/>
        <v>1862.8285118219744</v>
      </c>
      <c r="N137" s="12">
        <f t="shared" si="20"/>
        <v>107149.89599999998</v>
      </c>
      <c r="O137" s="14">
        <f>IF(OR($N137="",$N$153=""),"",IFERROR($N137/$N$153,0))</f>
        <v>1.9491666153638289E-4</v>
      </c>
    </row>
    <row r="138" spans="1:15" ht="15.6">
      <c r="A138" s="60">
        <v>14</v>
      </c>
      <c r="B138" s="61" t="s">
        <v>218</v>
      </c>
      <c r="C138" s="62" t="s">
        <v>153</v>
      </c>
      <c r="D138" s="37">
        <v>1</v>
      </c>
      <c r="E138" s="77">
        <v>44660</v>
      </c>
      <c r="F138" s="77">
        <v>13210</v>
      </c>
      <c r="G138" s="77">
        <v>0</v>
      </c>
      <c r="H138" s="12">
        <f t="shared" si="14"/>
        <v>57870</v>
      </c>
      <c r="I138" s="12">
        <f t="shared" si="15"/>
        <v>4629.6000000000004</v>
      </c>
      <c r="J138" s="12">
        <f t="shared" si="16"/>
        <v>4629.6000000000004</v>
      </c>
      <c r="K138" s="12">
        <f t="shared" si="17"/>
        <v>3356.46</v>
      </c>
      <c r="L138" s="12">
        <f t="shared" si="18"/>
        <v>12615.66</v>
      </c>
      <c r="M138" s="12">
        <f t="shared" si="19"/>
        <v>70485.66</v>
      </c>
      <c r="N138" s="12">
        <f t="shared" si="20"/>
        <v>70485.66</v>
      </c>
      <c r="O138" s="14">
        <f>IF(OR($N138="",$N$153=""),"",IFERROR($N138/$N$153,0))</f>
        <v>1.2822065206100216E-4</v>
      </c>
    </row>
    <row r="139" spans="1:15" ht="15.9" thickBot="1">
      <c r="A139" s="60">
        <v>15</v>
      </c>
      <c r="B139" s="61" t="s">
        <v>221</v>
      </c>
      <c r="C139" s="62" t="s">
        <v>153</v>
      </c>
      <c r="D139" s="37">
        <v>1</v>
      </c>
      <c r="E139" s="77">
        <v>26045.897606608072</v>
      </c>
      <c r="F139" s="77">
        <v>8405</v>
      </c>
      <c r="G139" s="77">
        <v>0</v>
      </c>
      <c r="H139" s="12">
        <f t="shared" si="14"/>
        <v>34450.897606608072</v>
      </c>
      <c r="I139" s="12">
        <f t="shared" si="15"/>
        <v>2756.0718085286458</v>
      </c>
      <c r="J139" s="12">
        <f t="shared" si="16"/>
        <v>2756.0718085286458</v>
      </c>
      <c r="K139" s="12">
        <f t="shared" si="17"/>
        <v>1998.152061183268</v>
      </c>
      <c r="L139" s="12">
        <f t="shared" si="18"/>
        <v>7510.2956782405599</v>
      </c>
      <c r="M139" s="12">
        <f t="shared" si="19"/>
        <v>41961.193284848632</v>
      </c>
      <c r="N139" s="12">
        <f t="shared" si="20"/>
        <v>41961.193284848632</v>
      </c>
      <c r="O139" s="14">
        <f>IF(OR($N139="",$N$153=""),"",IFERROR($N139/$N$153,0))</f>
        <v>7.6331718596960512E-5</v>
      </c>
    </row>
    <row r="140" spans="1:15" ht="15.9" thickBot="1">
      <c r="A140" s="46" t="s">
        <v>272</v>
      </c>
      <c r="B140" s="59"/>
      <c r="C140" s="47"/>
      <c r="D140" s="48"/>
      <c r="E140" s="48"/>
      <c r="F140" s="48"/>
      <c r="G140" s="48"/>
      <c r="H140" s="12">
        <f t="shared" si="14"/>
        <v>0</v>
      </c>
      <c r="I140" s="12">
        <f t="shared" si="15"/>
        <v>0</v>
      </c>
      <c r="J140" s="12">
        <f t="shared" si="16"/>
        <v>0</v>
      </c>
      <c r="K140" s="12">
        <f t="shared" si="17"/>
        <v>0</v>
      </c>
      <c r="L140" s="12">
        <f t="shared" si="18"/>
        <v>0</v>
      </c>
      <c r="M140" s="12" t="str">
        <f t="shared" si="19"/>
        <v/>
      </c>
      <c r="N140" s="12">
        <f t="shared" si="20"/>
        <v>0</v>
      </c>
      <c r="O140" s="14">
        <f>IF(OR($N140="",$N$153=""),"",IFERROR($N140/$N$153,0))</f>
        <v>0</v>
      </c>
    </row>
    <row r="141" spans="1:15" ht="15.9" thickBot="1">
      <c r="A141" s="60">
        <v>1</v>
      </c>
      <c r="B141" s="61" t="s">
        <v>272</v>
      </c>
      <c r="C141" s="62" t="s">
        <v>153</v>
      </c>
      <c r="D141" s="37">
        <v>1</v>
      </c>
      <c r="E141" s="77">
        <v>147906.33333333334</v>
      </c>
      <c r="F141" s="77">
        <v>29376</v>
      </c>
      <c r="G141" s="77">
        <v>48000</v>
      </c>
      <c r="H141" s="12">
        <f t="shared" si="14"/>
        <v>225282.33333333334</v>
      </c>
      <c r="I141" s="12">
        <f t="shared" si="15"/>
        <v>18022.586666666666</v>
      </c>
      <c r="J141" s="12">
        <f t="shared" si="16"/>
        <v>18022.586666666666</v>
      </c>
      <c r="K141" s="12">
        <f t="shared" si="17"/>
        <v>13066.375333333335</v>
      </c>
      <c r="L141" s="12">
        <f t="shared" si="18"/>
        <v>49111.548666666669</v>
      </c>
      <c r="M141" s="12">
        <f t="shared" si="19"/>
        <v>274393.88199999998</v>
      </c>
      <c r="N141" s="12">
        <f t="shared" si="20"/>
        <v>274393.88199999998</v>
      </c>
      <c r="O141" s="14">
        <f>IF(OR($N141="",$N$153=""),"",IFERROR($N141/$N$153,0))</f>
        <v>4.9915064243691092E-4</v>
      </c>
    </row>
    <row r="142" spans="1:15" ht="15.9" thickBot="1">
      <c r="A142" s="46" t="s">
        <v>273</v>
      </c>
      <c r="B142" s="59"/>
      <c r="C142" s="47"/>
      <c r="D142" s="48"/>
      <c r="E142" s="48"/>
      <c r="F142" s="48"/>
      <c r="G142" s="48"/>
      <c r="H142" s="12">
        <f t="shared" si="14"/>
        <v>0</v>
      </c>
      <c r="I142" s="12">
        <f t="shared" si="15"/>
        <v>0</v>
      </c>
      <c r="J142" s="12">
        <f t="shared" si="16"/>
        <v>0</v>
      </c>
      <c r="K142" s="12">
        <f t="shared" si="17"/>
        <v>0</v>
      </c>
      <c r="L142" s="12">
        <f t="shared" si="18"/>
        <v>0</v>
      </c>
      <c r="M142" s="12" t="str">
        <f t="shared" si="19"/>
        <v/>
      </c>
      <c r="N142" s="12">
        <f t="shared" si="20"/>
        <v>0</v>
      </c>
      <c r="O142" s="14">
        <f>IF(OR($N142="",$N$153=""),"",IFERROR($N142/$N$153,0))</f>
        <v>0</v>
      </c>
    </row>
    <row r="143" spans="1:15" ht="15.6">
      <c r="A143" s="60">
        <v>1</v>
      </c>
      <c r="B143" s="61" t="s">
        <v>274</v>
      </c>
      <c r="C143" s="62" t="s">
        <v>153</v>
      </c>
      <c r="D143" s="37">
        <v>1</v>
      </c>
      <c r="E143" s="77">
        <v>14617430</v>
      </c>
      <c r="F143" s="77">
        <v>0</v>
      </c>
      <c r="G143" s="77">
        <v>0</v>
      </c>
      <c r="H143" s="12">
        <f t="shared" si="14"/>
        <v>14617430</v>
      </c>
      <c r="I143" s="12">
        <f t="shared" si="15"/>
        <v>1169394.4000000001</v>
      </c>
      <c r="J143" s="12">
        <f t="shared" si="16"/>
        <v>1169394.4000000001</v>
      </c>
      <c r="K143" s="12">
        <f t="shared" si="17"/>
        <v>847810.94000000006</v>
      </c>
      <c r="L143" s="12">
        <f t="shared" si="18"/>
        <v>3186599.74</v>
      </c>
      <c r="M143" s="12">
        <f t="shared" si="19"/>
        <v>17804029.740000002</v>
      </c>
      <c r="N143" s="12">
        <f t="shared" si="20"/>
        <v>17804029.740000002</v>
      </c>
      <c r="O143" s="14">
        <f>IF(OR($N143="",$N$153=""),"",IFERROR($N143/$N$153,0))</f>
        <v>3.2387357975739668E-2</v>
      </c>
    </row>
    <row r="144" spans="1:15" ht="15.6">
      <c r="A144" s="60">
        <v>2</v>
      </c>
      <c r="B144" s="61" t="s">
        <v>275</v>
      </c>
      <c r="C144" s="62" t="s">
        <v>153</v>
      </c>
      <c r="D144" s="37">
        <v>1</v>
      </c>
      <c r="E144" s="69">
        <v>631772</v>
      </c>
      <c r="F144" s="69">
        <v>0</v>
      </c>
      <c r="G144" s="69">
        <v>0</v>
      </c>
      <c r="H144" s="12">
        <f t="shared" si="14"/>
        <v>631772</v>
      </c>
      <c r="I144" s="12">
        <f t="shared" si="15"/>
        <v>50541.760000000002</v>
      </c>
      <c r="J144" s="12">
        <f t="shared" si="16"/>
        <v>50541.760000000002</v>
      </c>
      <c r="K144" s="12">
        <f t="shared" si="17"/>
        <v>36642.776000000005</v>
      </c>
      <c r="L144" s="12">
        <f t="shared" si="18"/>
        <v>137726.296</v>
      </c>
      <c r="M144" s="12">
        <f t="shared" si="19"/>
        <v>769498.29599999997</v>
      </c>
      <c r="N144" s="12">
        <f t="shared" si="20"/>
        <v>769498.29599999997</v>
      </c>
      <c r="O144" s="14">
        <f>IF(OR($N144="",$N$153=""),"",IFERROR($N144/$N$153,0))</f>
        <v>1.3997964021752799E-3</v>
      </c>
    </row>
    <row r="145" spans="1:15" ht="15.6">
      <c r="A145" s="60">
        <v>3</v>
      </c>
      <c r="B145" s="61" t="s">
        <v>276</v>
      </c>
      <c r="C145" s="62" t="s">
        <v>153</v>
      </c>
      <c r="D145" s="37">
        <v>1</v>
      </c>
      <c r="E145" s="69">
        <v>143370</v>
      </c>
      <c r="F145" s="69">
        <v>0</v>
      </c>
      <c r="G145" s="69">
        <v>0</v>
      </c>
      <c r="H145" s="12">
        <f t="shared" si="14"/>
        <v>143370</v>
      </c>
      <c r="I145" s="12">
        <f t="shared" si="15"/>
        <v>11469.6</v>
      </c>
      <c r="J145" s="12">
        <f t="shared" si="16"/>
        <v>11469.6</v>
      </c>
      <c r="K145" s="12">
        <f t="shared" si="17"/>
        <v>8315.4600000000009</v>
      </c>
      <c r="L145" s="12">
        <f t="shared" si="18"/>
        <v>31254.660000000003</v>
      </c>
      <c r="M145" s="12">
        <f t="shared" si="19"/>
        <v>174624.66</v>
      </c>
      <c r="N145" s="12">
        <f t="shared" si="20"/>
        <v>174624.66</v>
      </c>
      <c r="O145" s="14">
        <f>IF(OR($N145="",$N$153=""),"",IFERROR($N145/$N$153,0))</f>
        <v>3.1766018465501778E-4</v>
      </c>
    </row>
    <row r="146" spans="1:15" ht="15.6">
      <c r="A146" s="60">
        <v>4</v>
      </c>
      <c r="B146" s="61" t="s">
        <v>277</v>
      </c>
      <c r="C146" s="62" t="s">
        <v>153</v>
      </c>
      <c r="D146" s="37">
        <v>1</v>
      </c>
      <c r="E146" s="77">
        <v>708000</v>
      </c>
      <c r="F146" s="77">
        <v>0</v>
      </c>
      <c r="G146" s="77">
        <v>0</v>
      </c>
      <c r="H146" s="12">
        <f t="shared" si="14"/>
        <v>708000</v>
      </c>
      <c r="I146" s="12">
        <f t="shared" si="15"/>
        <v>56640</v>
      </c>
      <c r="J146" s="12">
        <f t="shared" si="16"/>
        <v>56640</v>
      </c>
      <c r="K146" s="12">
        <f t="shared" si="17"/>
        <v>41064</v>
      </c>
      <c r="L146" s="12">
        <f t="shared" si="18"/>
        <v>154344</v>
      </c>
      <c r="M146" s="12">
        <f t="shared" si="19"/>
        <v>862344</v>
      </c>
      <c r="N146" s="12">
        <f t="shared" si="20"/>
        <v>862344</v>
      </c>
      <c r="O146" s="14">
        <f>IF(OR($N146="",$N$153=""),"",IFERROR($N146/$N$153,0))</f>
        <v>1.5686922699013222E-3</v>
      </c>
    </row>
    <row r="147" spans="1:15" ht="15.9" thickBot="1">
      <c r="A147" s="60">
        <v>5</v>
      </c>
      <c r="B147" s="61" t="s">
        <v>278</v>
      </c>
      <c r="C147" s="62" t="s">
        <v>153</v>
      </c>
      <c r="D147" s="37">
        <v>1</v>
      </c>
      <c r="E147" s="77">
        <v>1178248.8799999999</v>
      </c>
      <c r="F147" s="77">
        <v>0</v>
      </c>
      <c r="G147" s="77">
        <v>0</v>
      </c>
      <c r="H147" s="12">
        <f t="shared" si="14"/>
        <v>1178248.8799999999</v>
      </c>
      <c r="I147" s="12">
        <f t="shared" si="15"/>
        <v>94259.910399999993</v>
      </c>
      <c r="J147" s="12">
        <f t="shared" si="16"/>
        <v>94259.910399999993</v>
      </c>
      <c r="K147" s="12">
        <f t="shared" si="17"/>
        <v>68338.435039999997</v>
      </c>
      <c r="L147" s="12">
        <f t="shared" si="18"/>
        <v>256858.25584</v>
      </c>
      <c r="M147" s="12">
        <f t="shared" si="19"/>
        <v>1435107.1358399999</v>
      </c>
      <c r="N147" s="12">
        <f t="shared" si="20"/>
        <v>1435107.1358399999</v>
      </c>
      <c r="O147" s="14">
        <f>IF(OR($N147="",$N$153=""),"",IFERROR($N147/$N$153,0))</f>
        <v>2.6106072176213142E-3</v>
      </c>
    </row>
    <row r="148" spans="1:15" ht="15.9" thickBot="1">
      <c r="A148" s="46" t="s">
        <v>279</v>
      </c>
      <c r="B148" s="59"/>
      <c r="C148" s="47"/>
      <c r="D148" s="48"/>
      <c r="E148" s="48"/>
      <c r="F148" s="48"/>
      <c r="G148" s="48"/>
      <c r="H148" s="12">
        <f t="shared" si="14"/>
        <v>0</v>
      </c>
      <c r="I148" s="12">
        <f t="shared" si="15"/>
        <v>0</v>
      </c>
      <c r="J148" s="12">
        <f t="shared" si="16"/>
        <v>0</v>
      </c>
      <c r="K148" s="12">
        <f t="shared" si="17"/>
        <v>0</v>
      </c>
      <c r="L148" s="12">
        <f t="shared" si="18"/>
        <v>0</v>
      </c>
      <c r="M148" s="12" t="str">
        <f t="shared" si="19"/>
        <v/>
      </c>
      <c r="N148" s="12">
        <f t="shared" si="20"/>
        <v>0</v>
      </c>
      <c r="O148" s="14">
        <f>IF(OR($N148="",$N$153=""),"",IFERROR($N148/$N$153,0))</f>
        <v>0</v>
      </c>
    </row>
    <row r="149" spans="1:15" ht="15.9" thickBot="1">
      <c r="A149" s="60">
        <v>1</v>
      </c>
      <c r="B149" s="61" t="s">
        <v>279</v>
      </c>
      <c r="C149" s="62" t="s">
        <v>153</v>
      </c>
      <c r="D149" s="37">
        <v>1</v>
      </c>
      <c r="E149" s="77">
        <v>5087760</v>
      </c>
      <c r="F149" s="77">
        <v>0</v>
      </c>
      <c r="G149" s="77">
        <v>0</v>
      </c>
      <c r="H149" s="12">
        <f t="shared" si="14"/>
        <v>5087760</v>
      </c>
      <c r="I149" s="12">
        <f t="shared" si="15"/>
        <v>407020.79999999999</v>
      </c>
      <c r="J149" s="12">
        <f t="shared" si="16"/>
        <v>407020.79999999999</v>
      </c>
      <c r="K149" s="12">
        <f t="shared" si="17"/>
        <v>295090.08</v>
      </c>
      <c r="L149" s="12">
        <f t="shared" si="18"/>
        <v>1109131.68</v>
      </c>
      <c r="M149" s="12">
        <f t="shared" si="19"/>
        <v>6196891.6799999997</v>
      </c>
      <c r="N149" s="12">
        <f t="shared" si="20"/>
        <v>6196891.6799999997</v>
      </c>
      <c r="O149" s="14">
        <f>IF(OR($N149="",$N$153=""),"",IFERROR($N149/$N$153,0))</f>
        <v>1.1272782179538348E-2</v>
      </c>
    </row>
    <row r="150" spans="1:15" ht="15.9" thickBot="1">
      <c r="A150" s="46" t="s">
        <v>280</v>
      </c>
      <c r="B150" s="59"/>
      <c r="C150" s="47"/>
      <c r="D150" s="48"/>
      <c r="E150" s="48"/>
      <c r="F150" s="48"/>
      <c r="G150" s="48"/>
      <c r="H150" s="12">
        <f t="shared" si="14"/>
        <v>0</v>
      </c>
      <c r="I150" s="12">
        <f t="shared" si="15"/>
        <v>0</v>
      </c>
      <c r="J150" s="12">
        <f t="shared" si="16"/>
        <v>0</v>
      </c>
      <c r="K150" s="12">
        <f t="shared" si="17"/>
        <v>0</v>
      </c>
      <c r="L150" s="12">
        <f t="shared" si="18"/>
        <v>0</v>
      </c>
      <c r="M150" s="12" t="str">
        <f t="shared" si="19"/>
        <v/>
      </c>
      <c r="N150" s="12">
        <f t="shared" si="20"/>
        <v>0</v>
      </c>
      <c r="O150" s="14">
        <f>IF(OR($N150="",$N$153=""),"",IFERROR($N150/$N$153,0))</f>
        <v>0</v>
      </c>
    </row>
    <row r="151" spans="1:15" ht="15.6">
      <c r="A151" s="60">
        <v>1</v>
      </c>
      <c r="B151" s="61" t="s">
        <v>280</v>
      </c>
      <c r="C151" s="62" t="s">
        <v>153</v>
      </c>
      <c r="D151" s="37">
        <v>1</v>
      </c>
      <c r="E151" s="77">
        <v>12847534.8522167</v>
      </c>
      <c r="F151" s="77">
        <v>0</v>
      </c>
      <c r="G151" s="77">
        <v>0</v>
      </c>
      <c r="H151" s="12">
        <f t="shared" si="14"/>
        <v>12847534.8522167</v>
      </c>
      <c r="I151" s="12">
        <f t="shared" si="15"/>
        <v>1027802.788177336</v>
      </c>
      <c r="J151" s="12">
        <f t="shared" si="16"/>
        <v>1027802.788177336</v>
      </c>
      <c r="K151" s="12">
        <f t="shared" si="17"/>
        <v>745157.02142856864</v>
      </c>
      <c r="L151" s="12">
        <f t="shared" si="18"/>
        <v>2800762.5977832405</v>
      </c>
      <c r="M151" s="12">
        <f t="shared" si="19"/>
        <v>15648297.44999994</v>
      </c>
      <c r="N151" s="12">
        <f t="shared" si="20"/>
        <v>15648297.44999994</v>
      </c>
      <c r="O151" s="14">
        <f>IF(OR($N151="",$N$153=""),"",IFERROR($N151/$N$153,0))</f>
        <v>2.8465859618587799E-2</v>
      </c>
    </row>
    <row r="152" spans="1:15">
      <c r="A152" s="13"/>
      <c r="B152" s="9"/>
      <c r="C152" s="8"/>
      <c r="D152" s="10"/>
      <c r="E152" s="11"/>
      <c r="F152" s="11"/>
      <c r="G152" s="11"/>
      <c r="H152" s="12" t="str">
        <f t="shared" si="14"/>
        <v/>
      </c>
      <c r="I152" s="12" t="str">
        <f t="shared" si="15"/>
        <v/>
      </c>
      <c r="J152" s="12" t="str">
        <f t="shared" si="16"/>
        <v/>
      </c>
      <c r="K152" s="12" t="str">
        <f t="shared" si="17"/>
        <v/>
      </c>
      <c r="L152" s="12" t="str">
        <f t="shared" si="18"/>
        <v/>
      </c>
      <c r="M152" s="12" t="str">
        <f t="shared" si="19"/>
        <v/>
      </c>
      <c r="N152" s="12" t="str">
        <f t="shared" si="20"/>
        <v/>
      </c>
      <c r="O152" s="14" t="str">
        <f>IF(OR($N152="",$N$153=""),"",IFERROR($N152/$N$153,0))</f>
        <v/>
      </c>
    </row>
    <row r="153" spans="1:15">
      <c r="A153" s="21" t="s">
        <v>17</v>
      </c>
      <c r="B153" s="19"/>
      <c r="C153" s="19"/>
      <c r="D153" s="19"/>
      <c r="E153" s="19"/>
      <c r="F153" s="19"/>
      <c r="G153" s="20"/>
      <c r="H153" s="16">
        <f>SUM(H5:H152)</f>
        <v>451331350.05792844</v>
      </c>
      <c r="I153" s="16">
        <f>SUM(I5:I152)</f>
        <v>36106508.004634291</v>
      </c>
      <c r="J153" s="16">
        <f>SUM(J5:J152)</f>
        <v>36106508.004634291</v>
      </c>
      <c r="K153" s="16">
        <f>SUM(K5:K152)</f>
        <v>26177218.303359836</v>
      </c>
      <c r="L153" s="16">
        <f>SUM(L5:L152)</f>
        <v>98390234.312628418</v>
      </c>
      <c r="M153" s="16">
        <f>IFERROR(N153/SUM(D5:D152),"")</f>
        <v>359.21280797624331</v>
      </c>
      <c r="N153" s="16">
        <f>SUM(N5:N152)</f>
        <v>549721584.37055683</v>
      </c>
      <c r="O153" s="17">
        <f>SUM(O5:O152)</f>
        <v>1</v>
      </c>
    </row>
  </sheetData>
  <mergeCells count="18">
    <mergeCell ref="A1:O1"/>
    <mergeCell ref="H2:H4"/>
    <mergeCell ref="L2:L4"/>
    <mergeCell ref="N2:N4"/>
    <mergeCell ref="O2:O4"/>
    <mergeCell ref="M2:M4"/>
    <mergeCell ref="B2:B4"/>
    <mergeCell ref="D2:D4"/>
    <mergeCell ref="K2:K3"/>
    <mergeCell ref="I2:I3"/>
    <mergeCell ref="E3:E4"/>
    <mergeCell ref="F3:F4"/>
    <mergeCell ref="G3:G4"/>
    <mergeCell ref="E2:G2"/>
    <mergeCell ref="A153:G153"/>
    <mergeCell ref="A2:A4"/>
    <mergeCell ref="J2:J3"/>
    <mergeCell ref="C2:C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Reference_Lists!$A$2:$A$11</xm:f>
          </x14:formula1>
          <xm:sqref>C5:C152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3.8"/>
  <cols>
    <col min="1" max="1" width="15" customWidth="1"/>
    <col min="2" max="2" width="25" customWidth="1"/>
    <col min="3" max="3" width="12" customWidth="1"/>
    <col min="4" max="4" width="34" customWidth="1"/>
    <col min="5" max="5" width="15" customWidth="1"/>
    <col min="6" max="6" width="36" customWidth="1"/>
  </cols>
  <sheetData>
    <row r="1" spans="1:6" ht="10.45" customHeight="1">
      <c r="A1" s="4" t="s">
        <v>18</v>
      </c>
      <c r="B1" s="4"/>
      <c r="C1" s="4"/>
      <c r="D1" s="4"/>
      <c r="E1" s="4"/>
      <c r="F1" s="4"/>
    </row>
    <row r="2" spans="1:6">
      <c r="A2" s="5" t="s">
        <v>19</v>
      </c>
      <c r="B2" s="5" t="s">
        <v>20</v>
      </c>
      <c r="C2" s="5"/>
      <c r="D2" s="5"/>
      <c r="E2" s="5"/>
      <c r="F2" s="5"/>
    </row>
    <row r="3" spans="1:6">
      <c r="A3" s="5" t="s">
        <v>21</v>
      </c>
      <c r="B3" s="5" t="s">
        <v>22</v>
      </c>
      <c r="C3" s="5"/>
      <c r="D3" s="5"/>
      <c r="E3" s="5"/>
      <c r="F3" s="5"/>
    </row>
    <row r="4" spans="1:6">
      <c r="A4" s="5" t="s">
        <v>23</v>
      </c>
      <c r="B4" s="5" t="s">
        <v>24</v>
      </c>
      <c r="C4" s="5"/>
      <c r="D4" s="5"/>
      <c r="E4" s="5"/>
      <c r="F4" s="5"/>
    </row>
    <row r="5" spans="1:6">
      <c r="A5" s="5" t="s">
        <v>25</v>
      </c>
      <c r="B5" s="5" t="s">
        <v>26</v>
      </c>
      <c r="C5" s="5"/>
      <c r="D5" s="5"/>
      <c r="E5" s="5"/>
      <c r="F5" s="5"/>
    </row>
    <row r="6" spans="1:6">
      <c r="A6" s="5" t="s">
        <v>27</v>
      </c>
      <c r="B6" s="5" t="s">
        <v>28</v>
      </c>
      <c r="C6" s="5"/>
      <c r="D6" s="5"/>
      <c r="E6" s="5"/>
      <c r="F6" s="5"/>
    </row>
    <row r="7" spans="1:6">
      <c r="A7" s="5" t="s">
        <v>29</v>
      </c>
      <c r="B7" s="5" t="s">
        <v>30</v>
      </c>
      <c r="C7" s="5"/>
      <c r="D7" s="5"/>
      <c r="E7" s="5"/>
      <c r="F7" s="5"/>
    </row>
    <row r="8" spans="1:6">
      <c r="A8" s="5" t="s">
        <v>31</v>
      </c>
      <c r="B8" s="5" t="s">
        <v>32</v>
      </c>
      <c r="C8" s="5"/>
      <c r="D8" s="5"/>
      <c r="E8" s="5"/>
      <c r="F8" s="5"/>
    </row>
    <row r="9" spans="1:6">
      <c r="A9" s="5" t="s">
        <v>33</v>
      </c>
      <c r="B9" s="5" t="s">
        <v>34</v>
      </c>
      <c r="C9" s="5"/>
      <c r="D9" s="5"/>
      <c r="E9" s="5"/>
      <c r="F9" s="5"/>
    </row>
    <row r="10" spans="1:6">
      <c r="A10" s="5" t="s">
        <v>35</v>
      </c>
      <c r="B10" s="5" t="s">
        <v>36</v>
      </c>
      <c r="C10" s="5"/>
      <c r="D10" s="5"/>
      <c r="E10" s="5"/>
      <c r="F10" s="5"/>
    </row>
    <row r="11" spans="1:6">
      <c r="A11" s="5" t="s">
        <v>37</v>
      </c>
      <c r="B11" s="5" t="s">
        <v>38</v>
      </c>
      <c r="C11" s="5"/>
      <c r="D11" s="5"/>
      <c r="E11" s="5"/>
      <c r="F11" s="5"/>
    </row>
    <row r="12" spans="1:6">
      <c r="A12" s="5" t="s">
        <v>39</v>
      </c>
      <c r="B12" s="5" t="s">
        <v>40</v>
      </c>
      <c r="C12" s="5"/>
      <c r="D12" s="5"/>
      <c r="E12" s="5"/>
      <c r="F12" s="5"/>
    </row>
    <row r="13" spans="1:6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>
      <c r="A15" s="7" t="s">
        <v>53</v>
      </c>
      <c r="B15" s="7" t="s">
        <v>54</v>
      </c>
      <c r="C15" s="7" t="s">
        <v>49</v>
      </c>
      <c r="D15" s="7" t="s">
        <v>50</v>
      </c>
      <c r="E15" s="7" t="s">
        <v>55</v>
      </c>
      <c r="F15" s="7" t="s">
        <v>56</v>
      </c>
    </row>
    <row r="16" spans="1:6">
      <c r="A16" s="7" t="s">
        <v>57</v>
      </c>
      <c r="B16" s="7" t="s">
        <v>58</v>
      </c>
      <c r="C16" s="7" t="s">
        <v>49</v>
      </c>
      <c r="D16" s="7" t="s">
        <v>50</v>
      </c>
      <c r="E16" s="7" t="s">
        <v>55</v>
      </c>
      <c r="F16" s="7" t="s">
        <v>59</v>
      </c>
    </row>
    <row r="17" spans="1:6">
      <c r="A17" s="7" t="s">
        <v>60</v>
      </c>
      <c r="B17" s="7" t="s">
        <v>61</v>
      </c>
      <c r="C17" s="7" t="s">
        <v>49</v>
      </c>
      <c r="D17" s="7" t="s">
        <v>50</v>
      </c>
      <c r="E17" s="7" t="s">
        <v>62</v>
      </c>
      <c r="F17" s="7" t="s">
        <v>63</v>
      </c>
    </row>
    <row r="18" spans="1:6">
      <c r="A18" s="7" t="s">
        <v>64</v>
      </c>
      <c r="B18" s="7" t="s">
        <v>65</v>
      </c>
      <c r="C18" s="7" t="s">
        <v>49</v>
      </c>
      <c r="D18" s="7" t="s">
        <v>50</v>
      </c>
      <c r="E18" s="7" t="s">
        <v>62</v>
      </c>
      <c r="F18" s="7" t="s">
        <v>66</v>
      </c>
    </row>
    <row r="19" spans="1:6">
      <c r="A19" s="7" t="s">
        <v>67</v>
      </c>
      <c r="B19" s="7" t="s">
        <v>68</v>
      </c>
      <c r="C19" s="7" t="s">
        <v>49</v>
      </c>
      <c r="D19" s="7" t="s">
        <v>50</v>
      </c>
      <c r="E19" s="7" t="s">
        <v>62</v>
      </c>
      <c r="F19" s="7" t="s">
        <v>69</v>
      </c>
    </row>
    <row r="20" spans="1:6">
      <c r="A20" s="7" t="s">
        <v>70</v>
      </c>
      <c r="B20" s="7" t="s">
        <v>71</v>
      </c>
      <c r="C20" s="7" t="s">
        <v>49</v>
      </c>
      <c r="D20" s="7" t="s">
        <v>50</v>
      </c>
      <c r="E20" s="7" t="s">
        <v>62</v>
      </c>
      <c r="F20" s="7" t="s">
        <v>72</v>
      </c>
    </row>
    <row r="21" spans="1:6">
      <c r="A21" s="7" t="s">
        <v>73</v>
      </c>
      <c r="B21" s="7" t="s">
        <v>74</v>
      </c>
      <c r="C21" s="7" t="s">
        <v>75</v>
      </c>
      <c r="D21" s="7" t="s">
        <v>76</v>
      </c>
      <c r="E21" s="7" t="s">
        <v>62</v>
      </c>
      <c r="F21" s="7" t="s">
        <v>77</v>
      </c>
    </row>
    <row r="22" spans="1:6">
      <c r="A22" s="7" t="s">
        <v>78</v>
      </c>
      <c r="B22" s="7" t="s">
        <v>7</v>
      </c>
      <c r="C22" s="7" t="s">
        <v>75</v>
      </c>
      <c r="D22" s="7" t="s">
        <v>79</v>
      </c>
      <c r="E22" s="7" t="s">
        <v>62</v>
      </c>
      <c r="F22" s="7" t="s">
        <v>80</v>
      </c>
    </row>
    <row r="23" spans="1:6">
      <c r="A23" s="7" t="s">
        <v>81</v>
      </c>
      <c r="B23" s="7" t="s">
        <v>8</v>
      </c>
      <c r="C23" s="7" t="s">
        <v>75</v>
      </c>
      <c r="D23" s="7" t="s">
        <v>82</v>
      </c>
      <c r="E23" s="7" t="s">
        <v>62</v>
      </c>
      <c r="F23" s="7" t="s">
        <v>83</v>
      </c>
    </row>
    <row r="24" spans="1:6">
      <c r="A24" s="7" t="s">
        <v>84</v>
      </c>
      <c r="B24" s="7" t="s">
        <v>85</v>
      </c>
      <c r="C24" s="7" t="s">
        <v>75</v>
      </c>
      <c r="D24" s="7" t="s">
        <v>86</v>
      </c>
      <c r="E24" s="7" t="s">
        <v>62</v>
      </c>
      <c r="F24" s="7" t="s">
        <v>87</v>
      </c>
    </row>
    <row r="25" spans="1:6">
      <c r="A25" s="7" t="s">
        <v>88</v>
      </c>
      <c r="B25" s="7" t="s">
        <v>89</v>
      </c>
      <c r="C25" s="7" t="s">
        <v>75</v>
      </c>
      <c r="D25" s="7" t="s">
        <v>90</v>
      </c>
      <c r="E25" s="7" t="s">
        <v>62</v>
      </c>
      <c r="F25" s="7"/>
    </row>
    <row r="26" spans="1:6">
      <c r="A26" s="7" t="s">
        <v>91</v>
      </c>
      <c r="B26" s="7" t="s">
        <v>92</v>
      </c>
      <c r="C26" s="7" t="s">
        <v>75</v>
      </c>
      <c r="D26" s="7" t="s">
        <v>93</v>
      </c>
      <c r="E26" s="7" t="s">
        <v>62</v>
      </c>
      <c r="F26" s="7"/>
    </row>
    <row r="27" spans="1:6">
      <c r="A27" s="7" t="s">
        <v>94</v>
      </c>
      <c r="B27" s="7" t="s">
        <v>95</v>
      </c>
      <c r="C27" s="7" t="s">
        <v>75</v>
      </c>
      <c r="D27" s="7" t="s">
        <v>96</v>
      </c>
      <c r="E27" s="7" t="s">
        <v>62</v>
      </c>
      <c r="F27" s="7" t="s">
        <v>97</v>
      </c>
    </row>
    <row r="28" spans="1:6">
      <c r="A28" s="7" t="s">
        <v>98</v>
      </c>
      <c r="B28" s="7" t="s">
        <v>99</v>
      </c>
      <c r="C28" s="7" t="s">
        <v>75</v>
      </c>
      <c r="D28" s="7" t="s">
        <v>100</v>
      </c>
      <c r="E28" s="7" t="s">
        <v>101</v>
      </c>
      <c r="F28" s="7" t="s">
        <v>102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3.8"/>
  <cols>
    <col min="1" max="1" width="12" customWidth="1"/>
    <col min="2" max="2" width="25" customWidth="1"/>
    <col min="3" max="3" width="28" customWidth="1"/>
    <col min="4" max="4" width="18" customWidth="1"/>
    <col min="5" max="5" width="35" customWidth="1"/>
  </cols>
  <sheetData>
    <row r="1" spans="1:5" ht="10.45" customHeight="1">
      <c r="A1" s="1" t="s">
        <v>103</v>
      </c>
      <c r="B1" s="1"/>
      <c r="C1" s="1"/>
      <c r="D1" s="1"/>
      <c r="E1" s="1"/>
    </row>
    <row r="2" spans="1:5">
      <c r="A2" t="s">
        <v>104</v>
      </c>
      <c r="B2" t="s">
        <v>22</v>
      </c>
    </row>
    <row r="3" spans="1:5">
      <c r="A3" t="s">
        <v>105</v>
      </c>
      <c r="B3" t="s">
        <v>106</v>
      </c>
    </row>
    <row r="4" spans="1:5">
      <c r="A4" t="s">
        <v>107</v>
      </c>
      <c r="B4" t="s">
        <v>108</v>
      </c>
    </row>
    <row r="5" spans="1:5">
      <c r="A5" t="s">
        <v>109</v>
      </c>
      <c r="B5" t="s">
        <v>110</v>
      </c>
    </row>
    <row r="6" spans="1:5">
      <c r="A6" s="2" t="s">
        <v>41</v>
      </c>
      <c r="B6" s="2" t="s">
        <v>111</v>
      </c>
      <c r="C6" s="2" t="s">
        <v>112</v>
      </c>
      <c r="D6" s="2" t="s">
        <v>113</v>
      </c>
      <c r="E6" s="2" t="s">
        <v>114</v>
      </c>
    </row>
    <row r="7" spans="1:5">
      <c r="A7" s="3" t="s">
        <v>47</v>
      </c>
      <c r="B7" s="3" t="s">
        <v>1</v>
      </c>
      <c r="C7" s="3" t="s">
        <v>115</v>
      </c>
      <c r="D7" s="3" t="s">
        <v>116</v>
      </c>
      <c r="E7" s="3" t="s">
        <v>117</v>
      </c>
    </row>
    <row r="8" spans="1:5">
      <c r="A8" s="3" t="s">
        <v>53</v>
      </c>
      <c r="B8" s="3" t="s">
        <v>118</v>
      </c>
      <c r="C8" s="3" t="s">
        <v>119</v>
      </c>
      <c r="D8" s="3" t="s">
        <v>116</v>
      </c>
      <c r="E8" s="3" t="s">
        <v>120</v>
      </c>
    </row>
    <row r="9" spans="1:5">
      <c r="A9" s="3" t="s">
        <v>57</v>
      </c>
      <c r="B9" s="3" t="s">
        <v>3</v>
      </c>
      <c r="C9" s="3" t="s">
        <v>121</v>
      </c>
      <c r="D9" s="3" t="s">
        <v>116</v>
      </c>
      <c r="E9" s="3" t="s">
        <v>122</v>
      </c>
    </row>
    <row r="10" spans="1:5">
      <c r="A10" s="3" t="s">
        <v>60</v>
      </c>
      <c r="B10" s="3" t="s">
        <v>4</v>
      </c>
      <c r="C10" s="3" t="s">
        <v>123</v>
      </c>
      <c r="D10" s="3" t="s">
        <v>124</v>
      </c>
      <c r="E10" s="3" t="s">
        <v>125</v>
      </c>
    </row>
    <row r="11" spans="1:5">
      <c r="A11" s="3" t="s">
        <v>64</v>
      </c>
      <c r="B11" s="3" t="s">
        <v>14</v>
      </c>
      <c r="C11" s="3" t="s">
        <v>126</v>
      </c>
      <c r="D11" s="3" t="s">
        <v>124</v>
      </c>
      <c r="E11" s="3" t="s">
        <v>127</v>
      </c>
    </row>
    <row r="12" spans="1:5">
      <c r="A12" s="3" t="s">
        <v>67</v>
      </c>
      <c r="B12" s="3" t="s">
        <v>15</v>
      </c>
      <c r="C12" s="3" t="s">
        <v>128</v>
      </c>
      <c r="D12" s="3" t="s">
        <v>124</v>
      </c>
      <c r="E12" s="3" t="s">
        <v>127</v>
      </c>
    </row>
    <row r="13" spans="1:5">
      <c r="A13" s="3" t="s">
        <v>70</v>
      </c>
      <c r="B13" s="3" t="s">
        <v>16</v>
      </c>
      <c r="C13" s="3" t="s">
        <v>129</v>
      </c>
      <c r="D13" s="3" t="s">
        <v>124</v>
      </c>
      <c r="E13" s="3" t="s">
        <v>127</v>
      </c>
    </row>
    <row r="14" spans="1:5">
      <c r="A14" s="3" t="s">
        <v>73</v>
      </c>
      <c r="B14" s="3" t="s">
        <v>130</v>
      </c>
      <c r="C14" s="3" t="s">
        <v>131</v>
      </c>
      <c r="D14" s="3" t="s">
        <v>132</v>
      </c>
      <c r="E14" s="3" t="s">
        <v>133</v>
      </c>
    </row>
    <row r="15" spans="1:5">
      <c r="A15" s="3" t="s">
        <v>78</v>
      </c>
      <c r="B15" s="3" t="s">
        <v>7</v>
      </c>
      <c r="C15" s="3" t="s">
        <v>134</v>
      </c>
      <c r="D15" s="3" t="s">
        <v>132</v>
      </c>
      <c r="E15" s="3" t="s">
        <v>135</v>
      </c>
    </row>
    <row r="16" spans="1:5">
      <c r="A16" s="3" t="s">
        <v>81</v>
      </c>
      <c r="B16" s="3" t="s">
        <v>8</v>
      </c>
      <c r="C16" s="3" t="s">
        <v>136</v>
      </c>
      <c r="D16" s="3" t="s">
        <v>132</v>
      </c>
      <c r="E16" s="3" t="s">
        <v>137</v>
      </c>
    </row>
    <row r="17" spans="1:5">
      <c r="A17" s="3" t="s">
        <v>84</v>
      </c>
      <c r="B17" s="3" t="s">
        <v>85</v>
      </c>
      <c r="C17" s="3" t="s">
        <v>138</v>
      </c>
      <c r="D17" s="3" t="s">
        <v>132</v>
      </c>
      <c r="E17" s="3" t="s">
        <v>139</v>
      </c>
    </row>
    <row r="18" spans="1:5">
      <c r="A18" s="3" t="s">
        <v>88</v>
      </c>
      <c r="B18" s="3" t="s">
        <v>140</v>
      </c>
      <c r="C18" s="3" t="s">
        <v>141</v>
      </c>
      <c r="D18" s="3" t="s">
        <v>132</v>
      </c>
      <c r="E18" s="3" t="s">
        <v>142</v>
      </c>
    </row>
    <row r="19" spans="1:5">
      <c r="A19" s="3" t="s">
        <v>91</v>
      </c>
      <c r="B19" s="3" t="s">
        <v>11</v>
      </c>
      <c r="C19" s="3" t="s">
        <v>143</v>
      </c>
      <c r="D19" s="3" t="s">
        <v>132</v>
      </c>
      <c r="E19" s="3" t="s">
        <v>144</v>
      </c>
    </row>
    <row r="20" spans="1:5">
      <c r="A20" s="3" t="s">
        <v>94</v>
      </c>
      <c r="B20" s="3" t="s">
        <v>12</v>
      </c>
      <c r="C20" s="3" t="s">
        <v>145</v>
      </c>
      <c r="D20" s="3" t="s">
        <v>132</v>
      </c>
      <c r="E20" s="3" t="s">
        <v>146</v>
      </c>
    </row>
    <row r="21" spans="1:5">
      <c r="A21" s="3" t="s">
        <v>98</v>
      </c>
      <c r="B21" s="3" t="s">
        <v>13</v>
      </c>
      <c r="C21" s="3" t="s">
        <v>147</v>
      </c>
      <c r="D21" s="3" t="s">
        <v>148</v>
      </c>
      <c r="E2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8"/>
  <cols>
    <col min="1" max="3" width="18" customWidth="1"/>
    <col min="4" max="4" width="40" customWidth="1"/>
  </cols>
  <sheetData>
    <row r="1" spans="1:4">
      <c r="A1" s="2" t="s">
        <v>150</v>
      </c>
      <c r="B1" s="2" t="s">
        <v>151</v>
      </c>
      <c r="C1" s="2" t="s">
        <v>152</v>
      </c>
      <c r="D1" s="2" t="s">
        <v>46</v>
      </c>
    </row>
    <row r="2" spans="1:4">
      <c r="A2" t="s">
        <v>153</v>
      </c>
      <c r="B2" t="s">
        <v>154</v>
      </c>
      <c r="C2" t="s">
        <v>155</v>
      </c>
      <c r="D2" t="s">
        <v>156</v>
      </c>
    </row>
    <row r="3" spans="1:4">
      <c r="A3" t="s">
        <v>157</v>
      </c>
      <c r="B3" t="s">
        <v>158</v>
      </c>
      <c r="C3" t="s">
        <v>159</v>
      </c>
      <c r="D3" t="s">
        <v>160</v>
      </c>
    </row>
    <row r="4" spans="1:4">
      <c r="A4" t="s">
        <v>161</v>
      </c>
      <c r="B4" t="s">
        <v>162</v>
      </c>
      <c r="C4" t="s">
        <v>163</v>
      </c>
    </row>
    <row r="5" spans="1:4">
      <c r="A5" t="s">
        <v>164</v>
      </c>
    </row>
    <row r="6" spans="1:4">
      <c r="A6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1" spans="1:4">
      <c r="A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BOQ_DATA_ENTRY</vt:lpstr>
      <vt:lpstr>Instructions</vt:lpstr>
      <vt:lpstr>App_Field_Map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2026-06-28T20:13:16Z</dcterms:modified>
</cp:coreProperties>
</file>